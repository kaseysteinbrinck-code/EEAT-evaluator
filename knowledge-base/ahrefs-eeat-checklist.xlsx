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5"/>
    <sheet state="visible" name="Dashboard" sheetId="2" r:id="rId6"/>
    <sheet state="visible" name="Brand + Website" sheetId="3" r:id="rId7"/>
    <sheet state="visible" name="People" sheetId="4" r:id="rId8"/>
    <sheet state="visible" name="Pages" sheetId="5" r:id="rId9"/>
    <sheet state="visible" name="Scoring Guide" sheetId="6" r:id="rId10"/>
    <sheet state="visible" name="Sources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Automatically calculates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Automatically calculates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Automatically calculates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Google does not assign a numerical score to each value, however, we've added this so that the dashboard can function correctly.</t>
      </text>
    </comment>
  </commentList>
</comments>
</file>

<file path=xl/sharedStrings.xml><?xml version="1.0" encoding="utf-8"?>
<sst xmlns="http://schemas.openxmlformats.org/spreadsheetml/2006/main" count="1199" uniqueCount="617">
  <si>
    <t>E-E-A-T AUDIT DASHBOARD</t>
  </si>
  <si>
    <t>INSTRUCTIONS:</t>
  </si>
  <si>
    <t>1. Complete audit in the Brand + Website, People, and Pages tabs</t>
  </si>
  <si>
    <t>Purpose</t>
  </si>
  <si>
    <t>2. Use Google's Quality Scale: Lowest (0), Low (25), Medium (50), High (75), Highest (100)</t>
  </si>
  <si>
    <t>3. Scores auto-calculate below based on your ratings</t>
  </si>
  <si>
    <t>4. Use findings to identify gaps and secure stakeholder buy-in</t>
  </si>
  <si>
    <t>OVERALL E-E-A-T SCORES</t>
  </si>
  <si>
    <t>This E-E-A-T audit checklist helps SEO professionals systematically assess their website's Experience, Expertise, Authority, and Trust signals against Google's Search Quality Evaluator Guidelines, with each item cross-referenced to specific guideline sections. 
The automated dashboard calculates scores to identify gaps and prioritize improvements.</t>
  </si>
  <si>
    <t>Entity Type</t>
  </si>
  <si>
    <t>Experience</t>
  </si>
  <si>
    <t>Expertise</t>
  </si>
  <si>
    <t>Authoritativeness</t>
  </si>
  <si>
    <t>Trust</t>
  </si>
  <si>
    <t>Overall E-E-A-T</t>
  </si>
  <si>
    <t>Brand + Website</t>
  </si>
  <si>
    <t>How to use this checklist</t>
  </si>
  <si>
    <t>STEP 1:</t>
  </si>
  <si>
    <t>E-E-A-T Signals Connected to People</t>
  </si>
  <si>
    <t>Brand + Website E-E-A-T Signals</t>
  </si>
  <si>
    <t>Review the Scoring Guide</t>
  </si>
  <si>
    <r>
      <rPr/>
      <t xml:space="preserve">Familiarize yourself with Google's Quality Scale as described in the </t>
    </r>
    <r>
      <rPr>
        <color rgb="FF1155CC"/>
        <u/>
      </rPr>
      <t>Quality Rater Guidelines</t>
    </r>
    <r>
      <rPr/>
      <t xml:space="preserve"> (QRG)</t>
    </r>
  </si>
  <si>
    <t>People</t>
  </si>
  <si>
    <t>Checklist Item</t>
  </si>
  <si>
    <t>Source</t>
  </si>
  <si>
    <t>Understand what each score level means</t>
  </si>
  <si>
    <t>Category</t>
  </si>
  <si>
    <t>Pages</t>
  </si>
  <si>
    <t>Entity to Check</t>
  </si>
  <si>
    <t>Score</t>
  </si>
  <si>
    <t>Score %</t>
  </si>
  <si>
    <t>STEP 2:</t>
  </si>
  <si>
    <t>Notes</t>
  </si>
  <si>
    <t>Complete the Audit</t>
  </si>
  <si>
    <t>Next Step</t>
  </si>
  <si>
    <t>Go to the Brand + Website, People, and Pages tabs</t>
  </si>
  <si>
    <t>Foundational Personal Branding (All People)</t>
  </si>
  <si>
    <t>For each checklist item, assess your site and select a score from the dropdown</t>
  </si>
  <si>
    <t>Foundational Branding</t>
  </si>
  <si>
    <t>Scores: 1 (Lowest), 25 (Low), 50 (Medium), 75 (High), 100 (Highest)</t>
  </si>
  <si>
    <t>These are founadtional elements that establish your brand is a real entity and worth including in search results</t>
  </si>
  <si>
    <t>These are founadtional elements that establish you as a real entity with topical expertise and/or authority earned from companies you've worked at</t>
  </si>
  <si>
    <t>STEP 3:</t>
  </si>
  <si>
    <t>Use the Dashboard</t>
  </si>
  <si>
    <t>The Dashboard automatically calculates your E-E-A-T scores</t>
  </si>
  <si>
    <t>View scores by: Entity Type, E-E-A-T Component, Overall</t>
  </si>
  <si>
    <t>TOTAL</t>
  </si>
  <si>
    <t>Identify your weakest areas to prioritize improvements</t>
  </si>
  <si>
    <t>STEP 4:</t>
  </si>
  <si>
    <t>Build Your Action Plan</t>
  </si>
  <si>
    <t>Use the lowest-scoring items to create a prioritized improvement list</t>
  </si>
  <si>
    <t>Focus on Trust signals first (most important per Google)</t>
  </si>
  <si>
    <t>E-E-A-T COMPONENT BREAKDOWN</t>
  </si>
  <si>
    <t>For YMYL sites, prioritize Expertise and Authority</t>
  </si>
  <si>
    <t>Use the 'Next Step' column to plan implementation</t>
  </si>
  <si>
    <t>Component</t>
  </si>
  <si>
    <t>Description</t>
  </si>
  <si>
    <t>Average Score</t>
  </si>
  <si>
    <t>Priority Focus</t>
  </si>
  <si>
    <t>STEP 5:</t>
  </si>
  <si>
    <t>Present to Stakeholders</t>
  </si>
  <si>
    <t>Use Dashboard scores to show the current state</t>
  </si>
  <si>
    <t>First-hand, life experience with the topic</t>
  </si>
  <si>
    <t>Identify gaps with specific examples from the checklist</t>
  </si>
  <si>
    <t>Estimate effort/cost to close gaps</t>
  </si>
  <si>
    <t>Plan actions approved by stakeholders as tasks in your project management platform</t>
  </si>
  <si>
    <t>Brand is well-known and respected in the industry</t>
  </si>
  <si>
    <t>Person has a strong reputation in the industry or is seen as an influencer</t>
  </si>
  <si>
    <t>QRG sections 3.3 &amp; 8.2</t>
  </si>
  <si>
    <t>IMPORTANT NOTES:</t>
  </si>
  <si>
    <t>QRG sections 3.3.1 &amp; 8.3</t>
  </si>
  <si>
    <t>• E-E-A-T is assessed based on 1) what the website says about itself, 2) what independent reliable sources say about it, and 3) what's visible on the page itself</t>
  </si>
  <si>
    <t>• E-E-A-T applies to the website as a whole, the owners of the website (as individuals or organizations), the creators of the content of each page and the content itself</t>
  </si>
  <si>
    <t>Skill, knowledge, and educational credentials</t>
  </si>
  <si>
    <t>• Trust is the most important E-E-A-T component. Prioritize it</t>
  </si>
  <si>
    <t>Authority, Trust, Reputation</t>
  </si>
  <si>
    <t>Authority, Reputation, Trust</t>
  </si>
  <si>
    <t>• Reputation is an unofficial element of E-E-A-T that connects to trust but is what quality raters look for most</t>
  </si>
  <si>
    <t>Authority</t>
  </si>
  <si>
    <t>Go-to source, industry recognition</t>
  </si>
  <si>
    <t xml:space="preserve">• Reputation research should look for independent, credible sources </t>
  </si>
  <si>
    <t>Most important - accuracy, honesty, safety</t>
  </si>
  <si>
    <t>• YMYL topics (health, finance, safety, legal) have higher standards</t>
  </si>
  <si>
    <t>• Both Experience and Expertise are valuable - depends on topic/purpose, even for YMYL topics</t>
  </si>
  <si>
    <t>Person</t>
  </si>
  <si>
    <t>• This checklist is based on Google Search Quality Evaluator Guidelines (Sept 11, 2025)</t>
  </si>
  <si>
    <t>Website Owner / Organization</t>
  </si>
  <si>
    <t>Person is seen as trustworthy by their audience</t>
  </si>
  <si>
    <t>QRG section 3.3</t>
  </si>
  <si>
    <t>E-E-A-T AUDIT SCORING GUIDE</t>
  </si>
  <si>
    <t>Brand has established a solid, consistent foundation online, making it clear who is responsible for the website</t>
  </si>
  <si>
    <t>Trust, Reputation</t>
  </si>
  <si>
    <t>QRG sections 2.5.2 &amp; 3.3.1</t>
  </si>
  <si>
    <t>Trust, Foundational</t>
  </si>
  <si>
    <t>Google's Quality Scale</t>
  </si>
  <si>
    <t>Brand (Off-Site)</t>
  </si>
  <si>
    <t>Google's Scoring</t>
  </si>
  <si>
    <t>% Score (For Dashboard)</t>
  </si>
  <si>
    <t>When to Use</t>
  </si>
  <si>
    <t>Lowest</t>
  </si>
  <si>
    <t>Person is transparent about their background and experience</t>
  </si>
  <si>
    <t>Website has a clear topic focus or is aligned with a distinct product category</t>
  </si>
  <si>
    <t>Experience, Trust</t>
  </si>
  <si>
    <t>QRG sections 7.3 &amp; 8.3</t>
  </si>
  <si>
    <t>Signal is completely absent or demonstrates clear deception/harm/untrustworthiness.</t>
  </si>
  <si>
    <t>Low</t>
  </si>
  <si>
    <t>Authority, Foundational</t>
  </si>
  <si>
    <t>Weak presence, inconsistent, or inadequate for purpose.</t>
  </si>
  <si>
    <t>Medium</t>
  </si>
  <si>
    <t>Meets basic expectations but not particularly strong. Nothing wrong, but nothing special.</t>
  </si>
  <si>
    <t>High</t>
  </si>
  <si>
    <t>Well-established across relevant places, demonstrates quality and trustworthiness.</t>
  </si>
  <si>
    <t>Website</t>
  </si>
  <si>
    <t>Highest</t>
  </si>
  <si>
    <t>Multiple strong sources, leaves no doubt, exceeds expectations, among the very best for the topic.</t>
  </si>
  <si>
    <t>E-E-A-T Signals on the Page Itself</t>
  </si>
  <si>
    <t>E-E-A-T Components Explained</t>
  </si>
  <si>
    <t>Definition (Google)</t>
  </si>
  <si>
    <t>Examples</t>
  </si>
  <si>
    <t>Person has received awards or honors for their work</t>
  </si>
  <si>
    <t>First-hand or life experience with the topic</t>
  </si>
  <si>
    <t>Product reviewer who owns the product; cancer patient sharing treatment experience</t>
  </si>
  <si>
    <t>Skill, knowledge, or educational/professional credentials</t>
  </si>
  <si>
    <t>Doctor writing about medicine; certified accountant on tax topics</t>
  </si>
  <si>
    <t>QRG section 8.1</t>
  </si>
  <si>
    <t>Recognition as a go-to source in the field</t>
  </si>
  <si>
    <t>Mayo Clinic for health; IRS for tax information; IEEE for technical standards</t>
  </si>
  <si>
    <t>Accuracy, honesty, safety, and reliability (MOST IMPORTANT)</t>
  </si>
  <si>
    <t>Secure transactions; accurate information; clear author attribution; no deceptive practices</t>
  </si>
  <si>
    <t>Expertise, Authority</t>
  </si>
  <si>
    <t>Website's URL matches the intended purpose and content that's present on the website</t>
  </si>
  <si>
    <t>QRG section 4.6.3</t>
  </si>
  <si>
    <t>Person has a standalone profile page on the website</t>
  </si>
  <si>
    <t>Website features full Organization schema (especially on the homepage)</t>
  </si>
  <si>
    <t>Not in QRG but is a structured data set search systems can use</t>
  </si>
  <si>
    <t>Foundational</t>
  </si>
  <si>
    <t>Person has a Wikipedia page about them</t>
  </si>
  <si>
    <t>Official References and Sources Used</t>
  </si>
  <si>
    <t>Authorship (All Pages)</t>
  </si>
  <si>
    <t>E-E-A-T checks start from individual pages which must clearly indicate who created the main content visible on the page</t>
  </si>
  <si>
    <t>All Google Documentation Referenced</t>
  </si>
  <si>
    <t>Resource Type</t>
  </si>
  <si>
    <t>Title/Description</t>
  </si>
  <si>
    <t>Person has been featured on relevant podcasts, webinars, and interviews and they link to the homepage or their bio page</t>
  </si>
  <si>
    <t>URL</t>
  </si>
  <si>
    <t>E-E-A-T Focus</t>
  </si>
  <si>
    <t>Primary Guidelines</t>
  </si>
  <si>
    <t>Contact Details</t>
  </si>
  <si>
    <t>Search Quality Evaluator Guidelines (September 2025)</t>
  </si>
  <si>
    <t>https://static.googleusercontent.com/media/guidelines.raterhub.com/en//searchqualityevaluatorguidelines.pdf</t>
  </si>
  <si>
    <t>These are common contact details Google search evaluators look for to establish an organization's authenticity and trustworthiness</t>
  </si>
  <si>
    <t>Person has guest-posted or been featured in authoritative content on other publications</t>
  </si>
  <si>
    <t>Phone number (ideally a local one) is clearly visible on the website</t>
  </si>
  <si>
    <t>QRG sections 2.5.3 &amp; 4.5.1</t>
  </si>
  <si>
    <t>Core E-E-A-T framework, YMYL, Page Quality, Reputation</t>
  </si>
  <si>
    <t xml:space="preserve"> Search Quality Rater Guidelines: An Overview</t>
  </si>
  <si>
    <t>https://services.google.com/fh/files/misc/hsw-sqrg.pdf</t>
  </si>
  <si>
    <t>Page contains expert author + reviewer bylines</t>
  </si>
  <si>
    <t>QRG sections 2.5.2 &amp; 3.3.4</t>
  </si>
  <si>
    <t>Person regularly gets cited in the press as an expert on their main topic of expertise</t>
  </si>
  <si>
    <t>Trust, Expertise</t>
  </si>
  <si>
    <t>Physical address (not a virtual or mailbox address) is clearly visible on the website</t>
  </si>
  <si>
    <t>Same as above (alternative source)</t>
  </si>
  <si>
    <t>Official Blog</t>
  </si>
  <si>
    <t>Google Rater Guidelines: E-E-A-T (December 2022)</t>
  </si>
  <si>
    <t>https://developers.google.com/search/blog/2022/12/google-raters-guidelines-e-e-a-t</t>
  </si>
  <si>
    <t>Page</t>
  </si>
  <si>
    <t>Person has professional social profiles they actively use</t>
  </si>
  <si>
    <t>Official announcement of adding "Experience" to E-A-T</t>
  </si>
  <si>
    <t>Contact details that connect to human support staff are signposted and easy to find on the website</t>
  </si>
  <si>
    <t>Search Quality Rater Guidelines Update (November 2023)</t>
  </si>
  <si>
    <t>https://developers.google.com/search/blog/2023/11/search-quality-rater-guidelines-update</t>
  </si>
  <si>
    <t>Page links to standalone author + reviewer profile pages</t>
  </si>
  <si>
    <t>Person has an active audience on social media</t>
  </si>
  <si>
    <t>Latest updates to Quality Rater Guidelines</t>
  </si>
  <si>
    <t>Every core page features clear contact information or an obvious link to it</t>
  </si>
  <si>
    <t>Authority, Trust</t>
  </si>
  <si>
    <t>Core Updates &amp; E-A-T (August 2019)</t>
  </si>
  <si>
    <t>https://developers.google.com/search/blog/2019/08/core-updates#get-to-know-the-quality-rater-guidelines-and-e-a-t</t>
  </si>
  <si>
    <t>Page contains Author and/or reviewedBy schema markup</t>
  </si>
  <si>
    <t>Person frequently posts about their topic of expertise and gets decent engagement</t>
  </si>
  <si>
    <t>Introduction to E-A-T concept, relationship to core updates</t>
  </si>
  <si>
    <t>Developer Docs</t>
  </si>
  <si>
    <t>Creating Helpful Content</t>
  </si>
  <si>
    <t>https://developers.google.com/search/docs/fundamentals/creating-helpful-content</t>
  </si>
  <si>
    <t>Page quality, people-first content (relates to E-E-A-T)</t>
  </si>
  <si>
    <t>Person's professional social profiles include links to the website (homepage or their profile page)</t>
  </si>
  <si>
    <t>Helpful Content Update (August 2022)</t>
  </si>
  <si>
    <t>https://developers.google.com/search/blog/2022/08/helpful-content-update</t>
  </si>
  <si>
    <t>Brand Entity</t>
  </si>
  <si>
    <t>Foundational, Trust</t>
  </si>
  <si>
    <t>These indicate whether your brand is established as it's own entity in search systems (crucial for AI visibility too)</t>
  </si>
  <si>
    <t>Topical Depth + Expertise (All Pages)</t>
  </si>
  <si>
    <t>Quality signals, people-first content approach</t>
  </si>
  <si>
    <t xml:space="preserve">Google's measure of E-E-A-T is usually with respect to the page's main topic. </t>
  </si>
  <si>
    <t>How Google Delivers Reliable Information in Search</t>
  </si>
  <si>
    <t>https://blog.google/products-and-platforms/products/search/how-google-delivers-reliable-information-search/</t>
  </si>
  <si>
    <t>Person participates in online forums and discussions, sharing their expertise</t>
  </si>
  <si>
    <t>Expertise, Trust</t>
  </si>
  <si>
    <t>Brand has a detailed and up-to-date Wikipedia page (essential for large companies, optional for smaller ones)</t>
  </si>
  <si>
    <t>Trust and reliability (core E-E-A-T component)</t>
  </si>
  <si>
    <t>QRG sections 3.3.1 &amp; 3.3.3</t>
  </si>
  <si>
    <t>How Raters &amp; Experiments Improve Google Search</t>
  </si>
  <si>
    <t>https://blog.google/products-and-platforms/products/search/raters-experiments-improve-google-search/</t>
  </si>
  <si>
    <t>Page's intended purpose is clear and fulfilled by the content and/or design</t>
  </si>
  <si>
    <t>QRG section 2.2</t>
  </si>
  <si>
    <t>Person has citations / a bio on relevant professional sites like MuckRack, IMDB etc</t>
  </si>
  <si>
    <t>Role of quality raters in evaluating E-E-A-T</t>
  </si>
  <si>
    <t>Google Search &amp; AI-Generated Content (February 2023)</t>
  </si>
  <si>
    <t>https://developers.google.com/search/blog/2023/02/google-search-and-ai-content</t>
  </si>
  <si>
    <t>Brand has a knowledge panel on Google, and it is claimed</t>
  </si>
  <si>
    <t>Indicates Google recognizes your brand as an entity based on its online reputation</t>
  </si>
  <si>
    <t>Content aligns with the key topical focus of the website and brand</t>
  </si>
  <si>
    <t>Trust, Authority</t>
  </si>
  <si>
    <t>QRG section 1.0</t>
  </si>
  <si>
    <t>Search Results</t>
  </si>
  <si>
    <t>Quality expectations regardless of content source</t>
  </si>
  <si>
    <t>Google Search Quality Evaluator Guidelines Reference</t>
  </si>
  <si>
    <t>Brand has a knowledge panel on Bing, and it is claimed</t>
  </si>
  <si>
    <r>
      <rPr>
        <rFont val="Calibri"/>
        <sz val="11.0"/>
      </rPr>
      <t xml:space="preserve">See full guidelines at </t>
    </r>
    <r>
      <rPr>
        <rFont val="Calibri"/>
        <color rgb="FF1155CC"/>
        <sz val="11.0"/>
        <u/>
      </rPr>
      <t>https://static.googleusercontent.com/media/guidelines.raterhub.com/en//searchqualityevaluatorguidelines.pdf</t>
    </r>
  </si>
  <si>
    <t>Not part of Google guidelines, but establishes your brand on more search platforms</t>
  </si>
  <si>
    <t>Version: September 11, 2025</t>
  </si>
  <si>
    <t>Content avoids sensationalism, clickbait titles and misleading information</t>
  </si>
  <si>
    <t>Section</t>
  </si>
  <si>
    <t>QRG section 4.0</t>
  </si>
  <si>
    <t>Title</t>
  </si>
  <si>
    <t>Key Focus for E-E-A-T</t>
  </si>
  <si>
    <t>Off-Site Profiles (All People)</t>
  </si>
  <si>
    <t>2.2</t>
  </si>
  <si>
    <t>Understanding the Purpose of a Webpage</t>
  </si>
  <si>
    <t>These establish your official profiles and enhance your reputation. They can be seen as authoritative sources of information about you and used as data sources by search systems</t>
  </si>
  <si>
    <t>Assess if page purpose is clear and beneficial. Foundational for determining appropriate E-E-A-T standards</t>
  </si>
  <si>
    <t>2.3</t>
  </si>
  <si>
    <t>Your Money or Your Life (YMYL) Topics</t>
  </si>
  <si>
    <t>Identify if content requires higher E-E-A-T standards due to potential impact on health, finance, safety, or welfare</t>
  </si>
  <si>
    <t>2.4.1</t>
  </si>
  <si>
    <t>Identifying the Main Content (MC)</t>
  </si>
  <si>
    <t>Evaluate the quality and substance of primary content. Core area for demonstrating expertise and experience</t>
  </si>
  <si>
    <t>2.4.2</t>
  </si>
  <si>
    <t>Identifying the Supplementary Content (SC)</t>
  </si>
  <si>
    <t>Assess if supporting content enhances user experience without distracting from main content quality</t>
  </si>
  <si>
    <t>2.4.3</t>
  </si>
  <si>
    <t>Identifying Advertisements/Monetization</t>
  </si>
  <si>
    <t>Ensure ads don't interfere with content or undermine trust through excessive/deceptive monetization</t>
  </si>
  <si>
    <t>Finding Who is Responsible for Website/Content Creator</t>
  </si>
  <si>
    <t>Verify clear attribution and credentials - critical for establishing expertise, authoritativeness, and trust</t>
  </si>
  <si>
    <t>3.0</t>
  </si>
  <si>
    <t>Overall Page Quality Rating</t>
  </si>
  <si>
    <t>Understand the holistic framework for assessing page quality based on purpose, content, and E-E-A-T</t>
  </si>
  <si>
    <t>3.2</t>
  </si>
  <si>
    <t>Content features original multimedia like photos, custom images, videos and/or audio that show first-hand experience</t>
  </si>
  <si>
    <t>Person's Wikipedia page contains their full name and current company they work for</t>
  </si>
  <si>
    <t>Quality of the Main Content</t>
  </si>
  <si>
    <t>Evaluate content accuracy, depth, originality - demonstrates expertise and experience in topic</t>
  </si>
  <si>
    <t>3.3</t>
  </si>
  <si>
    <t>Reputation of Website and Content Creators</t>
  </si>
  <si>
    <t>Research independent sources to verify credibility - reputation is key indicator of authoritativeness</t>
  </si>
  <si>
    <t>3.3.1</t>
  </si>
  <si>
    <t>Reputation of the Website</t>
  </si>
  <si>
    <t>QRG sections 4.6.6 &amp; 5.2</t>
  </si>
  <si>
    <t>Find external evidence of website's standing in industry through awards, press, expert opinions</t>
  </si>
  <si>
    <t>3.3.2</t>
  </si>
  <si>
    <t>Customer Reviews as Reputation Information</t>
  </si>
  <si>
    <t>Assess credible customer reviews as trust and reputation signals, particularly for commerce sites</t>
  </si>
  <si>
    <t>Foundational, Reputation, Trust</t>
  </si>
  <si>
    <t>3.3.3</t>
  </si>
  <si>
    <t>How to Search for Reputation Information</t>
  </si>
  <si>
    <t>Business Listings</t>
  </si>
  <si>
    <t>Learn methodology for finding independent, reliable sources about website/creator reputation</t>
  </si>
  <si>
    <t>3.3.4</t>
  </si>
  <si>
    <t>Reputation of the Content Creators</t>
  </si>
  <si>
    <t>Verify individual authors' credentials, recognition, and independent mentions as experts</t>
  </si>
  <si>
    <t>These establish your brand's official off-site local properties and ensure accurate information to enhance trust signals</t>
  </si>
  <si>
    <t>3.4</t>
  </si>
  <si>
    <t>Experience, Expertise, Authoritativeness, Trust (E-E-A-T)</t>
  </si>
  <si>
    <t>Core framework - understand how these four components work together, with Trust as most important</t>
  </si>
  <si>
    <t>3.4.1</t>
  </si>
  <si>
    <t>YMYL Topics: Experience or Expertise?</t>
  </si>
  <si>
    <t>Determine when first-hand experience vs. formal expertise is more appropriate for topic/purpose</t>
  </si>
  <si>
    <t>4.0</t>
  </si>
  <si>
    <t>Lowest Quality Pages</t>
  </si>
  <si>
    <t>Identify red flags that result in lowest ratings - harm, deception, lack of purpose, untrustworthiness</t>
  </si>
  <si>
    <t>4.5</t>
  </si>
  <si>
    <t>Untrustworthy Webpages or Websites</t>
  </si>
  <si>
    <t>Recognize signs of untrustworthiness that override all other positive E-E-A-T signals</t>
  </si>
  <si>
    <t>4.5.1</t>
  </si>
  <si>
    <t>Inadequate Information about Website/Content Creator</t>
  </si>
  <si>
    <t>Flag insufficient transparency about who's responsible - major trust issue, especially for YMYL</t>
  </si>
  <si>
    <t>5.0</t>
  </si>
  <si>
    <t>Low Quality Pages</t>
  </si>
  <si>
    <t>Understand characteristics that result in low ratings - helps set baseline quality expectations</t>
  </si>
  <si>
    <t>5.1</t>
  </si>
  <si>
    <t>Lacking E-E-A-T</t>
  </si>
  <si>
    <t>Identify when pages fail to demonstrate sufficient experience, expertise, authoritativeness, or trust</t>
  </si>
  <si>
    <t>7.0</t>
  </si>
  <si>
    <t>High Quality Pages</t>
  </si>
  <si>
    <t>Person's Wikipedia page opens with "{Name} is an {ethnicity} {job title, or list of relevant titles}, known for {x,y and z}."</t>
  </si>
  <si>
    <t>Learn characteristics of high-quality pages to set aspirational benchmarks for content</t>
  </si>
  <si>
    <t>7.2</t>
  </si>
  <si>
    <t>Positive Reputation</t>
  </si>
  <si>
    <t>Understand what constitutes positive reputation from independent, credible sources</t>
  </si>
  <si>
    <t>7.3</t>
  </si>
  <si>
    <t>High Level of E-E-A-T</t>
  </si>
  <si>
    <t>Identify strong demonstrations of experience, expertise, authoritativeness, and trust</t>
  </si>
  <si>
    <t>Brand has an active Google Business Listing that it's claimed and is the owner of</t>
  </si>
  <si>
    <t>8.0</t>
  </si>
  <si>
    <t>Highest Quality Pages</t>
  </si>
  <si>
    <t>Study exceptional quality standards - useful for competitive analysis and goal-setting</t>
  </si>
  <si>
    <t>8.2</t>
  </si>
  <si>
    <t>Very Positive Reputation</t>
  </si>
  <si>
    <t>QRG section 2.5</t>
  </si>
  <si>
    <t>Content includes original thinking and adds value instead of summarizing other people's content</t>
  </si>
  <si>
    <t>Recognize exceptional reputation signals like prestigious awards and widespread expert recognition</t>
  </si>
  <si>
    <t>8.3</t>
  </si>
  <si>
    <t>Very High Level of E-E-A-T</t>
  </si>
  <si>
    <t>Understand what exceptional E-E-A-T looks like - multiple strong signals across all components</t>
  </si>
  <si>
    <r>
      <rPr>
        <rFont val="Arial"/>
      </rPr>
      <t xml:space="preserve">e.g. Arnie: Arnold Alois Schwarzenegger[b] (born July 30, 1947) is an Austrian and American actor, businessman, former politician, and former professional bodybuilder, known for his roles in high-profile action films. He served as the 38th governor of California from 2003 to 2011.[3] </t>
    </r>
    <r>
      <rPr>
        <rFont val="Arial"/>
        <color rgb="FF1155CC"/>
        <u/>
      </rPr>
      <t>https://en.wikipedia.org/wiki/Arnold_Schwarzenegger</t>
    </r>
  </si>
  <si>
    <t>Brand's Google Business Listing is accurate and optimized well for local visibility</t>
  </si>
  <si>
    <t>Content includes evidence and links to authoritative sources to validate claims</t>
  </si>
  <si>
    <t>QRG section 4.4</t>
  </si>
  <si>
    <t>Person's Wikipedia page contains a summary section of their career highlights after intro</t>
  </si>
  <si>
    <t>Content that's most valuable and helpful is placed prominently or as close to the top as possible</t>
  </si>
  <si>
    <t>Brand has Bing Places and Apple Maps listings, and info is up-to-date and accurate</t>
  </si>
  <si>
    <t>QRG section 5.2.2</t>
  </si>
  <si>
    <t>Authority, Expertise</t>
  </si>
  <si>
    <t>Person's Wikipedia page contains a professional headshot or image</t>
  </si>
  <si>
    <t>Content contains substantive details or information an expert would usually include</t>
  </si>
  <si>
    <t>Brand has citations from authoritative business listings and local directory sites like Yelp</t>
  </si>
  <si>
    <t>Person's Wikipedia page contains a section on awards, accolades or commendations they've won</t>
  </si>
  <si>
    <t>Page looks and feels trustworthy</t>
  </si>
  <si>
    <t>Brand's local citations and listings have accurate name, address, phone, and website details</t>
  </si>
  <si>
    <t>QRG section 3.4</t>
  </si>
  <si>
    <t>Person's Wikipedia page contains a section on PhDs, original research or patents they've contributed to</t>
  </si>
  <si>
    <t>Person's Wikipedia page contains a section on their education and qualifications</t>
  </si>
  <si>
    <t>Brand Profiles</t>
  </si>
  <si>
    <t>Production Process + AI Usage (All Pages)</t>
  </si>
  <si>
    <t>These establish your brand's official off-site properties that enhance its reputation. They can be seen as authoritative sources of information about the brand</t>
  </si>
  <si>
    <t>Google looks for effort, originality, talent/skill and accuracy as measures of content quality. Scaled content abuse and low-effort AI content are used as examples of "Lowest" E-E-A-T as a result</t>
  </si>
  <si>
    <t>Person's Wikipedia page contains summary of what skills and topics they're known for professionally</t>
  </si>
  <si>
    <t>Expertise, Reputation</t>
  </si>
  <si>
    <t>Brand has claimed official social profiles on major platforms (even if inactive, protect from others claiming them and own all authoritative sources of information about the brand)</t>
  </si>
  <si>
    <t>QRG section 2.5 &amp; 3.3</t>
  </si>
  <si>
    <t>Author explains how content was created + methodology behind original data or research</t>
  </si>
  <si>
    <t>QRG section 3.2</t>
  </si>
  <si>
    <t>Person's Wikipedia page contains a section on their relevant work history at publically traded companies or big organizations they've worked for</t>
  </si>
  <si>
    <t>Experience, Trust, Authority</t>
  </si>
  <si>
    <t>Brand has filled out core information on each social media profile to establish its foundational presence</t>
  </si>
  <si>
    <t>Person's Wikipedia page contains reference links to their profile page on company website</t>
  </si>
  <si>
    <t>Author indicates how much human effort was invested to create the content</t>
  </si>
  <si>
    <t>QRG section 4.6.5</t>
  </si>
  <si>
    <t>Content feels like it's written by an expert / trustworthy source or in the case of experience shared, from a real human, not AI</t>
  </si>
  <si>
    <t>Person's Wikipedia page contains off-site links to press and media articles mentioning them positively</t>
  </si>
  <si>
    <t>Brand links to its website from all official social media profiles</t>
  </si>
  <si>
    <t>Expertise, Experience, Trust</t>
  </si>
  <si>
    <t>Content is free from obvious AI-isms, slop or SEO filler content</t>
  </si>
  <si>
    <t>Website features links to official branded social media profiles</t>
  </si>
  <si>
    <t>QRG section 5.2</t>
  </si>
  <si>
    <t>Presence in Search Engines (All People)</t>
  </si>
  <si>
    <t>Brand maintains (at least) some active social profiles and publishes content about relevant topics</t>
  </si>
  <si>
    <t>QRG sections 7.2 &amp; 8.2</t>
  </si>
  <si>
    <t>These are performance indicators that could be used as E-E-A-T signals by search systems</t>
  </si>
  <si>
    <t>Content + Search Performance (All Content)</t>
  </si>
  <si>
    <t>These are page-level performance indicators that could be used as E-E-A-T signals by search systems</t>
  </si>
  <si>
    <t>Brand participates in online forums and discussions, sharing its expertise where appropriate</t>
  </si>
  <si>
    <t>QRG section 3.3.4</t>
  </si>
  <si>
    <t>Person's name gets direct searches on Google</t>
  </si>
  <si>
    <t>A measure of authority and trust from your audience</t>
  </si>
  <si>
    <t>Page has many authoritative backlinks</t>
  </si>
  <si>
    <t>QRG section 3.3.1</t>
  </si>
  <si>
    <t>Brand's Wikipedia page opens with "{Brand} is an {country} {product category} company headquartered in {location}..."</t>
  </si>
  <si>
    <t>QRG sections 3.3 &amp; 3.4</t>
  </si>
  <si>
    <t>Person has a knowledge panel on Google and/or is understood as an entity by Google</t>
  </si>
  <si>
    <t>Content has many authoritative mentions around the web</t>
  </si>
  <si>
    <t>Indicates Google recognizes you as an entity based on your online reputation</t>
  </si>
  <si>
    <t>Brand's Wikipedia page contains up-to-date business name and HQ address</t>
  </si>
  <si>
    <t>Person has a knowledge panel on Bing and/or is understood as an entity by Bing</t>
  </si>
  <si>
    <t>Content matches search intent for the target keyword</t>
  </si>
  <si>
    <t>Not part of Google guidelines, but establishes your presence on more search platforms</t>
  </si>
  <si>
    <t>Brand's Wikipedia page contains a section about the company's history</t>
  </si>
  <si>
    <t>Content ranks well for unbranded, relevant keywords about the topic</t>
  </si>
  <si>
    <t>Person's knowledge panels in search engines connect them to the brand and/or link to the website</t>
  </si>
  <si>
    <t>Brand's Wikipedia page contains links and mentions to key products and sub-brands</t>
  </si>
  <si>
    <t>A measure of accuracy and also authority if you've worked at large companies</t>
  </si>
  <si>
    <t>Product / Service</t>
  </si>
  <si>
    <t>Page is cited in relevant AI answers about the topic</t>
  </si>
  <si>
    <t>Person's knowledge panels in search engines connect them to their main topic of expertise</t>
  </si>
  <si>
    <t>A measure of your expertise and authority for a topic, from your audience</t>
  </si>
  <si>
    <t>Brand's Wikipedia page contains foundational information like who, when, where and why it was founded</t>
  </si>
  <si>
    <t>Person's name is mentioned in AI responses about the topic or your brand</t>
  </si>
  <si>
    <t>Brand's Wikipedia page contains information about the company's corporate structure</t>
  </si>
  <si>
    <t>A measure of authority and expertise, from Google's AI systems</t>
  </si>
  <si>
    <t>YMYL Content</t>
  </si>
  <si>
    <t>"Your Money or Your Life" content is held to a stricter standard for E-E-A-T requirements</t>
  </si>
  <si>
    <t>Person's search results on Google feature their social profiles, bio pages and articles they're mentioned on</t>
  </si>
  <si>
    <t>A measure of accuracy and authority, from Google search</t>
  </si>
  <si>
    <t>Content is safe to trust for topics about your money or your life, and shares appropriate expertise to prevent harm</t>
  </si>
  <si>
    <t>Brand's Wikipedia page contains links to website (homepage at minimum)</t>
  </si>
  <si>
    <t>Person's content is frequently cited in AI responses about their topic of expertise and/or your brand</t>
  </si>
  <si>
    <t>A measure of quality and trust for your content, from Google's AI systems</t>
  </si>
  <si>
    <t>Content about YMYL topics conforms to the consensus backed by research</t>
  </si>
  <si>
    <t>QRG sections 4.4 &amp; 11</t>
  </si>
  <si>
    <t>Brand's Wikipedia page contains reference links to authoritative sources that mention your brand positively</t>
  </si>
  <si>
    <t>All YMYL content features an expert reviewer and makes their credentials clear to readers even when skimming</t>
  </si>
  <si>
    <t>QRG sections 3.4. &amp; 11</t>
  </si>
  <si>
    <t>Brand's Wikipedia page includes key people like founders, chairpeople, investors and executives</t>
  </si>
  <si>
    <t>Authors</t>
  </si>
  <si>
    <t>Google's quality raters perform E-E-A-T and reputation checks for individual content creators as well as the website and page they're evaluating</t>
  </si>
  <si>
    <t>Content includes trustworthy and safe first-hand accounts and life experience for instances when searchers are seeking comfort or inspiration rather than factual info about a YMYL topic</t>
  </si>
  <si>
    <t>QRG section 3.4.1</t>
  </si>
  <si>
    <t>Author is recognized as an expert in the field they're writing about</t>
  </si>
  <si>
    <t>Reviews + Testimonials</t>
  </si>
  <si>
    <t>These are a measure of your brand's reputation both on and off the website based on reviews and testimonials of people who have experience working with you/buying from you</t>
  </si>
  <si>
    <t>Home</t>
  </si>
  <si>
    <t>The homepage is a very common page that quality raters and visitors will look to assess your website's E-E-A-T and trustworthiness</t>
  </si>
  <si>
    <t>Author demonstrates their knowledge of the latest research and cites it in their content</t>
  </si>
  <si>
    <t>Brand has many positive Google reviews</t>
  </si>
  <si>
    <t>Homepage contains logos of awards, certifications and accreditations earned by the company</t>
  </si>
  <si>
    <t>QRG section 2.5.1</t>
  </si>
  <si>
    <t>Author has demonstrated, first-hand experience in the field they're writing about</t>
  </si>
  <si>
    <t>Brand has many positive reviews on social media, like Facebook</t>
  </si>
  <si>
    <t>Homepage contains logos of big brands that are clients, have mentioned the company and/or are in partnership with the company</t>
  </si>
  <si>
    <t>Author has a track record of publishing expert content on the topic for years</t>
  </si>
  <si>
    <t>Expertise, Experience, Reputation</t>
  </si>
  <si>
    <t>Brand has many positive reviews on third-party sites, like Trustpilot or Product Review</t>
  </si>
  <si>
    <t>Author has a relevant degree or certification for the topic they're writing about</t>
  </si>
  <si>
    <t>Homepage contains testimonials and reviews from happy customers</t>
  </si>
  <si>
    <t>Brand has replied to all reviews on its profiles and third-party sites</t>
  </si>
  <si>
    <t>Experience, Trust, Reputation</t>
  </si>
  <si>
    <t>QRG section 3.3.2</t>
  </si>
  <si>
    <t>Author provides accurate and unbiased information in their work</t>
  </si>
  <si>
    <t>Homepage contains detailed Organizational schema</t>
  </si>
  <si>
    <t>QRG section 4.5</t>
  </si>
  <si>
    <t>Website prominently features legitimate, trustworthy reviews and testimonials from happy customers</t>
  </si>
  <si>
    <t>Trust, Reputation, Expertise</t>
  </si>
  <si>
    <t>Author's effort for the content has gone beyond that of competitors</t>
  </si>
  <si>
    <t>QRG section 8.3</t>
  </si>
  <si>
    <t>Homepage connects the brand to its main topics and product categories</t>
  </si>
  <si>
    <t>Website links to each review where it was originally published, proving its authenticity</t>
  </si>
  <si>
    <t>Author's content contains Author schema markup</t>
  </si>
  <si>
    <t>Website and other profiles do not contain reviews that are a conflict of interest</t>
  </si>
  <si>
    <t>Pages that contain reviews are all marked up with Review schema (where appropriate to do so)</t>
  </si>
  <si>
    <t>About</t>
  </si>
  <si>
    <t>The about page is used to determine who is responsible for a wesbite. It is also used during reputation research to assess potential deception in how the website represents itself</t>
  </si>
  <si>
    <t>Company Leaders (Founders, Executives, Thought Leaders)</t>
  </si>
  <si>
    <t>Google's quality raters perform E-E-A-T and reputation checks for the people behind the website, such as the website owners or the organization's leadership</t>
  </si>
  <si>
    <t>About page is linked in the main navigation and/or the footer so visitors can easily find it</t>
  </si>
  <si>
    <t>QRG section 2.5.3, 3.4 &amp; 4.5</t>
  </si>
  <si>
    <t>Sentiment around company leaders reflects positively on the brand</t>
  </si>
  <si>
    <t>QRG section 2.5.2</t>
  </si>
  <si>
    <t>Professional Associations</t>
  </si>
  <si>
    <t>Reputation, Trust</t>
  </si>
  <si>
    <t>These are essential markers of your brand's experience, expertise and authority as recognized by independent sources that search raters use to evaluate your reputation</t>
  </si>
  <si>
    <t>About page contains information about how long it's been in business and where it's headquartered</t>
  </si>
  <si>
    <t>Company leaders are strongly connected to the brand by people and search engines</t>
  </si>
  <si>
    <t>Brand is a member of professional organizations + industry associations and features these on its website</t>
  </si>
  <si>
    <t>About page contains the company's history and core mission</t>
  </si>
  <si>
    <t>Experience, Authority</t>
  </si>
  <si>
    <t>Brand has earned awards, certifications, and industry recognition and features these on its website</t>
  </si>
  <si>
    <t>Concepts created by company leaders are mentioned around the web positively</t>
  </si>
  <si>
    <t xml:space="preserve">About page contains information about (or a link to) founders, executives and company leaders </t>
  </si>
  <si>
    <t>Brand demonstrates its years of professional experience clearly</t>
  </si>
  <si>
    <t>Concepts created by company leaders are searched on Google</t>
  </si>
  <si>
    <t>About page has a Meet the Team component with links to each person's bio</t>
  </si>
  <si>
    <t>Search results for concepts created by company leaders link to the person's social profiles or the company's website</t>
  </si>
  <si>
    <t>Brand provides elements of proof to validate claims to its expertise (such as published research on independent, authoritative publications where appropriate)</t>
  </si>
  <si>
    <t>About page contains awards and accreditations won by the company</t>
  </si>
  <si>
    <t>Concepts created by company leaders are mentioned in AI responses and correctly attributed to the person or brand</t>
  </si>
  <si>
    <t>About page contains licenses, certifications, insurance or registration details that are essential in the industry</t>
  </si>
  <si>
    <t>If brand has made charitable contributions or public goodwill, it is featured on the website and press releases</t>
  </si>
  <si>
    <t>About page contains references to professional bodies that may regulate, accredit or validate the company</t>
  </si>
  <si>
    <t>If the brand is involved in community programs and sponsorships, they are featured on the website and press releases</t>
  </si>
  <si>
    <t>Reviewer</t>
  </si>
  <si>
    <t>Expert reviews and editorial processes are expected for certain types of content and used as examples of "Highest" E-E-A-T</t>
  </si>
  <si>
    <t xml:space="preserve">About page contains Person schema for everyone mentioned </t>
  </si>
  <si>
    <t>Brand has key partnerships that increase its credibility and mentions these (or includes partner logos) on its website</t>
  </si>
  <si>
    <t>Foundational, Authority</t>
  </si>
  <si>
    <t>Reviewer's qualifications and accreditations are showcased on every page they review</t>
  </si>
  <si>
    <t>About page contains detailed Organization schema</t>
  </si>
  <si>
    <t>A small byline for the reviewer is on every page they review, along with a summary of their subject matter expertise</t>
  </si>
  <si>
    <t>Links + Brand Mentions</t>
  </si>
  <si>
    <t>These are a measure of your brand's reputation around the web. Search raters are instructed to evaluate quality, trusted independent sources about your brand</t>
  </si>
  <si>
    <t>All YMYL content has been professionally reviewed by a relevant expert</t>
  </si>
  <si>
    <t>QRG section 11</t>
  </si>
  <si>
    <t>Team Bios</t>
  </si>
  <si>
    <t>These pages are often evaluated to assess expertise and authority of individual content creators for the topic they write about</t>
  </si>
  <si>
    <t>Brand is mentioned in authoritative, trustworthy publications</t>
  </si>
  <si>
    <t>It is immediately clear to readers why a reviewer's experience is relevant to the subject matter</t>
  </si>
  <si>
    <t>Profile page includes the person's full name and job title</t>
  </si>
  <si>
    <t>QRG section 2.5.3</t>
  </si>
  <si>
    <t>Brand has a history of positive press coverage</t>
  </si>
  <si>
    <t xml:space="preserve">All pages with a reviewer added contain reviewedBy schema markup </t>
  </si>
  <si>
    <t>Profile page has an up-to-date bio and description about the person's professional experience</t>
  </si>
  <si>
    <t>Brand has earned positive press mentions recently</t>
  </si>
  <si>
    <t>Profile page contains a professional headshot or photo of the person</t>
  </si>
  <si>
    <t>Brand includes links to positive press mentions on its website</t>
  </si>
  <si>
    <t>Profile page contains credentials, accreditations and educational background</t>
  </si>
  <si>
    <t>Expertise, Experience</t>
  </si>
  <si>
    <t>Brand is positively mentioned and recommended in forums and discussion threads</t>
  </si>
  <si>
    <t>Profile page contains links to the person's professional social profiles</t>
  </si>
  <si>
    <t>Brand is positively mentioned and recommended on recent social media content</t>
  </si>
  <si>
    <t>Profile page contains the person's direct contact details (where appropriate and suitable)</t>
  </si>
  <si>
    <t>Profile page includes links to their content portfolio on the website</t>
  </si>
  <si>
    <t>Branded Searches</t>
  </si>
  <si>
    <t>Profile page contains links to off-site content the person has published or been quoted in as an expert</t>
  </si>
  <si>
    <t>Authority, Expertise, Reputation</t>
  </si>
  <si>
    <t>Brand name is frequently searched on Google</t>
  </si>
  <si>
    <t>A measure of authority and trust for the brand, from your audience</t>
  </si>
  <si>
    <t>Profile page links to podcasts, webinars and interviews the person has been featured in</t>
  </si>
  <si>
    <t>Brand search volume is either growing or maintaining a high volume</t>
  </si>
  <si>
    <t>Profile page contains Person schema markup</t>
  </si>
  <si>
    <t>Brand is frequently searched alongside core topics and keywords</t>
  </si>
  <si>
    <t>A measure of authority and trust for a specific topic, from your audience</t>
  </si>
  <si>
    <t>Profile page is marked up with ProfilePage schema</t>
  </si>
  <si>
    <t>Key people in the organization are frequently searched on Google</t>
  </si>
  <si>
    <t>A measure of authority and expertise available within your organization</t>
  </si>
  <si>
    <t>Branded products, services, or sub-brands are also frequently searched</t>
  </si>
  <si>
    <t>Contact</t>
  </si>
  <si>
    <t>A measure of authority and trust for your sub-brands, from your audience</t>
  </si>
  <si>
    <t>The contact page is an essential indicator of how legitimate a website is. YMYL websites require far more contact information to establish an adequate baseline of trust</t>
  </si>
  <si>
    <t>Contact page contains a phone number, address, email address and a contact form</t>
  </si>
  <si>
    <t>Brand ranks well for many relevant non-branded search queries/keywords</t>
  </si>
  <si>
    <t>A measure of authority and trust for a specific topic, from Google search</t>
  </si>
  <si>
    <t>Contact page contains a map with physical address for company headquarters or main location</t>
  </si>
  <si>
    <t>Branded search results feature owned brand assets and profiles, or content with positive sentiment</t>
  </si>
  <si>
    <t>A measure of authority and trust for your brand, from Google search</t>
  </si>
  <si>
    <t>Contact page makes it clear how to reach a human customer support agent</t>
  </si>
  <si>
    <t>Branded search results do not contain competitors, misinformation or negative results</t>
  </si>
  <si>
    <t>A measure of brand strength, and authority and trust, from Google search</t>
  </si>
  <si>
    <t>Brand + Google's AI Responses</t>
  </si>
  <si>
    <t>These are performance indicators that provide feedback on how trustworthy and authoritative Google's AI search systems consider your brand</t>
  </si>
  <si>
    <t>Brand is mentioned in AI responses for relevant queries and topics</t>
  </si>
  <si>
    <t>A measure of authority and trust for your brand, from Google's AI systems</t>
  </si>
  <si>
    <t>Brand is strongly connected to its key topics and categories in AI responses</t>
  </si>
  <si>
    <t>A measure of authority and trust for specific topics, from Google's AI systems</t>
  </si>
  <si>
    <t>Brand mentions in AI responses are accurate, with no hallucinations or inconsistent brand information present</t>
  </si>
  <si>
    <t>A measure of brand consistency around the web, as seen by Google's AI systems</t>
  </si>
  <si>
    <t>Brand mentions in AI responses are favorable and of a positive or neutral sentiment</t>
  </si>
  <si>
    <t>A measure of brand sentiment and reputation around the web, as seen by Google's AI systems</t>
  </si>
  <si>
    <t>Brand's products, people, and/or sub-brands are mentioned in AI responses</t>
  </si>
  <si>
    <t>A measure of authority and trust for your sub-brands, from Google's AI systems</t>
  </si>
  <si>
    <t>Important brand and SEO pages are cited in AI responses for relevant topics</t>
  </si>
  <si>
    <t>Brand's Topical Authority</t>
  </si>
  <si>
    <t>These connect your brand and website to its core topic and measure how authoritative you are for it</t>
  </si>
  <si>
    <t>Brand publishes educational content about its core topics to demonstrate its expertise</t>
  </si>
  <si>
    <r>
      <rPr>
        <rFont val="Arial"/>
      </rPr>
      <t xml:space="preserve">QRG section 3.4, </t>
    </r>
    <r>
      <rPr>
        <rFont val="Arial"/>
        <color rgb="FF1155CC"/>
        <u/>
      </rPr>
      <t>Helpful Content</t>
    </r>
  </si>
  <si>
    <t>Brand has a strong publication history on its main topics and product categories (e.g., blogs, podcasts, books, etc)</t>
  </si>
  <si>
    <r>
      <rPr>
        <rFont val="Arial"/>
      </rPr>
      <t xml:space="preserve">QRG section 8.2, </t>
    </r>
    <r>
      <rPr>
        <rFont val="Arial"/>
        <color rgb="FF1155CC"/>
        <u/>
      </rPr>
      <t>Helpful Content</t>
    </r>
  </si>
  <si>
    <t>Brand publishes the latest industry news, becoming an authoritative and trusted source of updates to its audience</t>
  </si>
  <si>
    <r>
      <rPr>
        <rFont val="Arial"/>
      </rPr>
      <t xml:space="preserve">QRG section 8.2, </t>
    </r>
    <r>
      <rPr>
        <rFont val="Arial"/>
        <color rgb="FF1155CC"/>
        <u/>
      </rPr>
      <t>Helpful Content</t>
    </r>
  </si>
  <si>
    <t>Essential Website Pages for EEAT</t>
  </si>
  <si>
    <t>These are common pages that Google's quality raters are instructed to consider in their evaluation of your brand and website</t>
  </si>
  <si>
    <t>Website has an About page (or even a small hub of credibility-building pages)</t>
  </si>
  <si>
    <t>QRG sections 2.5, 3.4 &amp; 4.5</t>
  </si>
  <si>
    <t>Website has a Meet the Team page (or section) featuring key leaders, staff, authors, and expert contributors</t>
  </si>
  <si>
    <t>QRG sections 2.5 &amp; 3.4</t>
  </si>
  <si>
    <t>Website contains a page or section featuring key leaders in the company and links to individual profile pages</t>
  </si>
  <si>
    <t>Website features your project portfolio or case studies of successful projects</t>
  </si>
  <si>
    <t>Website features client stories, journeys, and before and afters (ideal for YMYL, long-term, or high-ticket services)</t>
  </si>
  <si>
    <t>QRG section 2.3</t>
  </si>
  <si>
    <t>Website has a Contact page, and it is easy for visitors to find it</t>
  </si>
  <si>
    <t>QRG section 4.5.1</t>
  </si>
  <si>
    <t>Website has a page for reviews, testimonials and client love (if appropriate)</t>
  </si>
  <si>
    <t>Legal Pages + Footer Essentials</t>
  </si>
  <si>
    <t>These are a common pages that indicate your website's true intent and can be reviewed by quality raters when evaluating your brand and website</t>
  </si>
  <si>
    <t>Footer has an up-to-date Copyright notice</t>
  </si>
  <si>
    <t>Footer has clear contact and brand information</t>
  </si>
  <si>
    <t>Footer has trust seals from reputable organizations</t>
  </si>
  <si>
    <t>Footer links to essential brand pages that may be excluded from the main navigation</t>
  </si>
  <si>
    <t>Footer links to a Terms &amp; Conditions page</t>
  </si>
  <si>
    <t>Footer links to a Privacy Policy that clearly explains how data is collected and used</t>
  </si>
  <si>
    <t>Footer links to essential Disclaimers</t>
  </si>
  <si>
    <t>Footer links to Cookie Policy (or at least it's included in the Privacy Policy)</t>
  </si>
  <si>
    <t>Footer links to AI disclaimer about if and how the website uses AI in its content</t>
  </si>
  <si>
    <t>Website has a GDPR compliant cookie permission pop-up</t>
  </si>
  <si>
    <t>Website has an Editorial Policy that explains content production methods and verifies information quality</t>
  </si>
  <si>
    <t>Website links to Editorial Policy in all editorial posts and content</t>
  </si>
  <si>
    <t>Website has a Media page that links to positive press articles in authoritative publications</t>
  </si>
  <si>
    <t>Website content and it's intent accurately matches legal documentation</t>
  </si>
  <si>
    <t>QRG section 4.7</t>
  </si>
  <si>
    <t>Website Security</t>
  </si>
  <si>
    <t>Poor security measures often lower trustworthiness and can be enough to earn the "Lowest" score for E-E-A-T and quality</t>
  </si>
  <si>
    <t>Website is up-to-date on security measures to protect users' data</t>
  </si>
  <si>
    <t>QRG section 4.5.5</t>
  </si>
  <si>
    <t>Website has a valid SSL certificate</t>
  </si>
  <si>
    <t>Website does not have any insecure HTTP pages live</t>
  </si>
  <si>
    <t>If website had HTTP pages recently, they've been 301 redirected to HTTPS versions correctly</t>
  </si>
  <si>
    <t>Website Design</t>
  </si>
  <si>
    <t>Google considers the user-friendliness of your content and website experience as a measure of quality and trust. Poor UX could lower trustworthiness and earn low scores for E-E-A-T as a result</t>
  </si>
  <si>
    <t>Website maintains a consistent, modern visual identity prioritizing positive user experiences</t>
  </si>
  <si>
    <t>Website design looks and feels professional and trustworthy</t>
  </si>
  <si>
    <t>Page layouts aren't minimal. They consider the needs of SEO, E-E-A-T and brand essentials</t>
  </si>
  <si>
    <t>Website design matches the brand's off-site visual identity</t>
  </si>
  <si>
    <t>Trust, Reputation, Foundational</t>
  </si>
  <si>
    <t>E-commerce Brands</t>
  </si>
  <si>
    <t>Online stores are considered YMYL sites and are held to very strict standards for E-E-A-T</t>
  </si>
  <si>
    <t>Website provides fully secured and trusted payment options like Visa, PayPal, or AfterPay with appropriate payment policies</t>
  </si>
  <si>
    <t>QRG sections 2.5.3 &amp; 3.4</t>
  </si>
  <si>
    <t>Product pages have independent reviews about the product from real customers and do not, in any way, attempt to deceive users</t>
  </si>
  <si>
    <t>Website has Refund and Returns policies in the footer and on product pages</t>
  </si>
  <si>
    <t>Website has accurate Shipping and Delivery information in the footer and on product pages</t>
  </si>
  <si>
    <t>QRG sections 2.5.3 &amp; 4.7</t>
  </si>
  <si>
    <t>Website has have Warranty information in the footer and on product pages</t>
  </si>
  <si>
    <t>Affiliate Websites</t>
  </si>
  <si>
    <t>Google views most affiliate websites as untrustworthy and they're often used as examples of sites that earn the "Lowest" scores due to deceptive practices</t>
  </si>
  <si>
    <t>Website discloses brand affiliations, partnerships, sponsorships, or other commercial relationships</t>
  </si>
  <si>
    <t>QRG section 2.4.3</t>
  </si>
  <si>
    <t>Website has an Earnings disclaimer that transparently discloses how you earn income from your content</t>
  </si>
  <si>
    <t>Content links to the Earnings disclaimer if it contains affiliate links or sponsored content</t>
  </si>
  <si>
    <t>Content demonstrates hands-on experience with the products being reviewed</t>
  </si>
  <si>
    <t>Content includes original multimedia assets like photos and videos proving you tested the product</t>
  </si>
  <si>
    <t>Content is not deceptive in any way or misrepresenting your actual experiences with the product</t>
  </si>
  <si>
    <t>Potential conflicts of interest that affect the page's perceived purpose are removed or disclosed</t>
  </si>
  <si>
    <t>Author has a profile page detailing their hands-on experience with the topic and/or qualified expertise</t>
  </si>
  <si>
    <t>Experience, Expertise, Trust</t>
  </si>
  <si>
    <t>Author's profile and documented experience and expertise are not deceptive in any way</t>
  </si>
  <si>
    <t>Trust, Expertise, Experience</t>
  </si>
  <si>
    <t>Footer links to Editorial Policy, Earning Disclaimer, and AI Disclaimer if applicable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</si>
</sst>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21.0"/>
      <color rgb="FFFFFFFF"/>
      <name val="Calibri"/>
    </font>
    <font/>
    <font>
      <color theme="1"/>
      <name val="Arial"/>
      <scheme val="minor"/>
    </font>
    <font>
      <sz val="11.0"/>
      <color theme="1"/>
      <name val="Calibri"/>
    </font>
    <font>
      <b/>
      <sz val="16.0"/>
      <color rgb="FF054ADA"/>
      <name val="Arial"/>
    </font>
    <font>
      <b/>
      <sz val="24.0"/>
      <color rgb="FF054ADA"/>
      <name val="Arial"/>
    </font>
    <font>
      <sz val="10.0"/>
      <color theme="1"/>
      <name val="Arial"/>
      <scheme val="minor"/>
    </font>
    <font>
      <b/>
      <sz val="11.0"/>
      <color rgb="FFFFFFFF"/>
      <name val="Calibri"/>
    </font>
    <font>
      <sz val="11.0"/>
      <color theme="1"/>
      <name val="Arial"/>
    </font>
    <font>
      <sz val="14.0"/>
      <color theme="1"/>
      <name val="Arial"/>
      <scheme val="minor"/>
    </font>
    <font>
      <b/>
      <sz val="10.0"/>
      <color theme="1"/>
      <name val="Arial"/>
    </font>
    <font>
      <b/>
      <sz val="11.0"/>
      <color theme="1"/>
      <name val="Arial"/>
    </font>
    <font>
      <u/>
      <color rgb="FF0000FF"/>
    </font>
    <font>
      <b/>
      <color theme="1"/>
      <name val="Arial"/>
    </font>
    <font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color rgb="FF434343"/>
      <name val="Arial"/>
    </font>
    <font>
      <u/>
      <color rgb="FF0000FF"/>
      <name val="Arial"/>
    </font>
    <font>
      <u/>
      <color rgb="FF434343"/>
      <name val="Roboto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54ADA"/>
        <bgColor rgb="FF054ADA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5">
    <border/>
    <border>
      <left/>
      <top/>
      <bottom/>
    </border>
    <border>
      <top/>
      <bottom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right/>
      <top/>
      <bottom/>
    </border>
    <border>
      <left style="thick">
        <color rgb="FFFFFFFF"/>
      </left>
      <top style="thick">
        <color rgb="FFFFFFFF"/>
      </top>
    </border>
    <border>
      <top style="thick">
        <color rgb="FFFFFFFF"/>
      </top>
    </border>
    <border>
      <right style="thick">
        <color rgb="FFFFFFFF"/>
      </right>
      <top style="thick">
        <color rgb="FFFFFFFF"/>
      </top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Border="1" applyFill="1" applyFont="1"/>
    <xf borderId="4" fillId="0" fontId="2" numFmtId="0" xfId="0" applyBorder="1" applyFont="1"/>
    <xf borderId="0" fillId="0" fontId="4" numFmtId="0" xfId="0" applyAlignment="1" applyFont="1">
      <alignment vertical="bottom"/>
    </xf>
    <xf borderId="5" fillId="0" fontId="5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0" fillId="0" fontId="4" numFmtId="0" xfId="0" applyAlignment="1" applyFont="1">
      <alignment readingOrder="0" vertical="bottom"/>
    </xf>
    <xf borderId="3" fillId="3" fontId="6" numFmtId="0" xfId="0" applyAlignment="1" applyBorder="1" applyFill="1" applyFont="1">
      <alignment readingOrder="0" vertical="center"/>
    </xf>
    <xf borderId="8" fillId="3" fontId="7" numFmtId="0" xfId="0" applyAlignment="1" applyBorder="1" applyFill="1" applyFont="1">
      <alignment readingOrder="0" shrinkToFit="0" wrapText="1"/>
    </xf>
    <xf borderId="9" fillId="2" fontId="8" numFmtId="0" xfId="0" applyAlignment="1" applyBorder="1" applyFill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9" fillId="0" fontId="4" numFmtId="0" xfId="0" applyAlignment="1" applyBorder="1" applyFont="1">
      <alignment horizontal="center" readingOrder="0"/>
    </xf>
    <xf borderId="12" fillId="0" fontId="9" numFmtId="49" xfId="0" applyAlignment="1" applyBorder="1" applyFont="1" applyNumberFormat="1">
      <alignment readingOrder="0" shrinkToFit="0" wrapText="1"/>
    </xf>
    <xf borderId="12" fillId="0" fontId="9" numFmtId="49" xfId="0" applyAlignment="1" applyBorder="1" applyFont="1" applyNumberFormat="1">
      <alignment readingOrder="0" shrinkToFit="0" vertical="center" wrapText="1"/>
    </xf>
    <xf borderId="8" fillId="3" fontId="10" numFmtId="0" xfId="0" applyAlignment="1" applyBorder="1" applyFill="1" applyFont="1">
      <alignment readingOrder="0" shrinkToFit="0" wrapText="1"/>
    </xf>
    <xf borderId="9" fillId="0" fontId="4" numFmtId="1" xfId="0" applyAlignment="1" applyBorder="1" applyFont="1" applyNumberFormat="1">
      <alignment horizontal="center"/>
    </xf>
    <xf borderId="5" fillId="0" fontId="6" numFmtId="0" xfId="0" applyAlignment="1" applyBorder="1" applyFont="1">
      <alignment horizontal="center" readingOrder="0" shrinkToFit="0" vertical="center" wrapText="0"/>
    </xf>
    <xf borderId="10" fillId="3" fontId="10" numFmtId="0" xfId="0" applyAlignment="1" applyBorder="1" applyFill="1" applyFont="1">
      <alignment readingOrder="0" shrinkToFit="0" wrapText="1"/>
    </xf>
    <xf borderId="12" fillId="0" fontId="9" numFmtId="0" xfId="0" applyAlignment="1" applyBorder="1" applyFont="1">
      <alignment readingOrder="0"/>
    </xf>
    <xf borderId="6" fillId="0" fontId="6" numFmtId="0" xfId="0" applyAlignment="1" applyBorder="1" applyFont="1">
      <alignment horizontal="center" readingOrder="0" shrinkToFit="0" vertical="center" wrapText="0"/>
    </xf>
    <xf borderId="11" fillId="3" fontId="10" numFmtId="0" xfId="0" applyAlignment="1" applyBorder="1" applyFill="1" applyFont="1">
      <alignment readingOrder="0" shrinkToFit="0" wrapText="1"/>
    </xf>
    <xf borderId="7" fillId="0" fontId="6" numFmtId="0" xfId="0" applyAlignment="1" applyBorder="1" applyFont="1">
      <alignment horizontal="center" readingOrder="0" shrinkToFit="0" vertical="center" wrapText="0"/>
    </xf>
    <xf borderId="13" fillId="0" fontId="11" numFmtId="0" xfId="0" applyAlignment="1" applyBorder="1" applyFont="1">
      <alignment readingOrder="0" shrinkToFit="0" wrapText="1"/>
    </xf>
    <xf borderId="13" fillId="0" fontId="11" numFmtId="0" xfId="0" applyAlignment="1" applyBorder="1" applyFont="1">
      <alignment readingOrder="0" shrinkToFit="0" vertical="center" wrapText="1"/>
    </xf>
    <xf borderId="13" fillId="0" fontId="12" numFmtId="0" xfId="0" applyAlignment="1" applyBorder="1" applyFont="1">
      <alignment horizontal="center" readingOrder="0" shrinkToFit="0" vertical="center" wrapText="1"/>
    </xf>
    <xf borderId="13" fillId="0" fontId="12" numFmtId="0" xfId="0" applyAlignment="1" applyBorder="1" applyFont="1">
      <alignment horizontal="center" readingOrder="0"/>
    </xf>
    <xf borderId="13" fillId="0" fontId="9" numFmtId="0" xfId="0" applyAlignment="1" applyBorder="1" applyFont="1">
      <alignment horizontal="center" readingOrder="0" shrinkToFit="0" vertical="center" wrapText="1"/>
    </xf>
    <xf borderId="13" fillId="0" fontId="9" numFmtId="0" xfId="0" applyAlignment="1" applyBorder="1" applyFont="1">
      <alignment horizontal="center" readingOrder="0"/>
    </xf>
    <xf borderId="13" fillId="0" fontId="9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readingOrder="0" shrinkToFit="0" wrapText="1"/>
    </xf>
    <xf borderId="13" fillId="0" fontId="9" numFmtId="0" xfId="0" applyAlignment="1" applyBorder="1" applyFont="1">
      <alignment readingOrder="0" vertical="center"/>
    </xf>
    <xf borderId="9" fillId="0" fontId="4" numFmtId="0" xfId="0" applyAlignment="1" applyBorder="1" applyFont="1">
      <alignment horizontal="center"/>
    </xf>
    <xf borderId="0" fillId="0" fontId="9" numFmtId="0" xfId="0" applyAlignment="1" applyFont="1">
      <alignment readingOrder="0" vertical="center"/>
    </xf>
    <xf borderId="13" fillId="0" fontId="9" numFmtId="0" xfId="0" applyAlignment="1" applyBorder="1" applyFont="1">
      <alignment readingOrder="0"/>
    </xf>
    <xf borderId="13" fillId="0" fontId="9" numFmtId="0" xfId="0" applyAlignment="1" applyBorder="1" applyFont="1">
      <alignment readingOrder="0" shrinkToFit="0" vertical="center" wrapText="1"/>
    </xf>
    <xf borderId="13" fillId="0" fontId="9" numFmtId="0" xfId="0" applyAlignment="1" applyBorder="1" applyFont="1">
      <alignment readingOrder="0" shrinkToFit="0" wrapText="1"/>
    </xf>
    <xf borderId="13" fillId="0" fontId="9" numFmtId="0" xfId="0" applyAlignment="1" applyBorder="1" applyFont="1">
      <alignment horizontal="center" readingOrder="0" shrinkToFit="0" vertical="center" wrapText="1"/>
    </xf>
    <xf borderId="13" fillId="0" fontId="9" numFmtId="0" xfId="0" applyAlignment="1" applyBorder="1" applyFont="1">
      <alignment horizontal="center" readingOrder="0"/>
    </xf>
    <xf borderId="3" fillId="3" fontId="13" numFmtId="0" xfId="0" applyAlignment="1" applyBorder="1" applyFill="1" applyFont="1">
      <alignment readingOrder="0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0" fontId="14" numFmtId="49" xfId="0" applyAlignment="1" applyFont="1" applyNumberFormat="1">
      <alignment horizontal="center" readingOrder="0" shrinkToFit="0" vertical="center" wrapText="1"/>
    </xf>
    <xf borderId="3" fillId="3" fontId="3" numFmtId="0" xfId="0" applyAlignment="1" applyBorder="1" applyFill="1" applyFont="1">
      <alignment readingOrder="0"/>
    </xf>
    <xf borderId="3" fillId="3" fontId="10" numFmtId="0" xfId="0" applyAlignment="1" applyBorder="1" applyFill="1" applyFont="1">
      <alignment readingOrder="0"/>
    </xf>
    <xf borderId="0" fillId="0" fontId="14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9" fillId="0" fontId="4" numFmtId="0" xfId="0" applyBorder="1" applyFont="1"/>
    <xf borderId="0" fillId="0" fontId="14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0"/>
    </xf>
    <xf borderId="9" fillId="0" fontId="4" numFmtId="1" xfId="0" applyBorder="1" applyFont="1" applyNumberFormat="1"/>
    <xf borderId="0" fillId="0" fontId="14" numFmtId="0" xfId="0" applyAlignment="1" applyFont="1">
      <alignment horizontal="center" shrinkToFit="0" vertical="center" wrapText="1"/>
    </xf>
    <xf borderId="9" fillId="0" fontId="16" numFmtId="0" xfId="0" applyAlignment="1" applyBorder="1" applyFont="1">
      <alignment horizontal="center"/>
    </xf>
    <xf borderId="9" fillId="2" fontId="8" numFmtId="0" xfId="0" applyAlignment="1" applyBorder="1" applyFill="1" applyFont="1">
      <alignment horizontal="center" readingOrder="0" vertical="center"/>
    </xf>
    <xf borderId="9" fillId="0" fontId="4" numFmtId="0" xfId="0" applyAlignment="1" applyBorder="1" applyFont="1">
      <alignment vertical="bottom"/>
    </xf>
    <xf borderId="0" fillId="0" fontId="15" numFmtId="0" xfId="0" applyAlignment="1" applyFont="1">
      <alignment shrinkToFit="0" vertical="center" wrapText="0"/>
    </xf>
    <xf borderId="9" fillId="0" fontId="4" numFmtId="1" xfId="0" applyAlignment="1" applyBorder="1" applyFont="1" applyNumberFormat="1">
      <alignment horizontal="center" vertical="bottom"/>
    </xf>
    <xf borderId="0" fillId="0" fontId="14" numFmtId="0" xfId="0" applyAlignment="1" applyFont="1">
      <alignment shrinkToFit="0" vertical="center" wrapText="0"/>
    </xf>
    <xf borderId="0" fillId="0" fontId="15" numFmtId="0" xfId="0" applyAlignment="1" applyFont="1">
      <alignment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readingOrder="0" vertical="bottom"/>
    </xf>
    <xf borderId="3" fillId="3" fontId="3" numFmtId="0" xfId="0" applyAlignment="1" applyBorder="1" applyFill="1" applyFont="1">
      <alignment readingOrder="0" shrinkToFit="0" wrapText="0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shrinkToFit="0" vertical="center" wrapText="0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15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vertical="center"/>
    </xf>
    <xf borderId="9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shrinkToFit="0" vertical="center" wrapText="1"/>
    </xf>
    <xf borderId="0" fillId="0" fontId="15" numFmtId="0" xfId="0" applyAlignment="1" applyFont="1">
      <alignment horizontal="center" shrinkToFit="0" vertical="center" wrapText="1"/>
    </xf>
    <xf borderId="13" fillId="0" fontId="12" numFmtId="0" xfId="0" applyAlignment="1" applyBorder="1" applyFont="1">
      <alignment horizontal="center" readingOrder="0" vertical="center"/>
    </xf>
    <xf borderId="13" fillId="0" fontId="12" numFmtId="0" xfId="0" applyAlignment="1" applyBorder="1" applyFont="1">
      <alignment readingOrder="0"/>
    </xf>
    <xf borderId="13" fillId="0" fontId="9" numFmtId="0" xfId="0" applyAlignment="1" applyBorder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0" fillId="0" fontId="14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15" numFmtId="0" xfId="0" applyAlignment="1" applyFont="1">
      <alignment horizontal="center" shrinkToFit="0" vertical="center" wrapText="0"/>
    </xf>
    <xf borderId="9" fillId="2" fontId="8" numFmtId="0" xfId="0" applyAlignment="1" applyBorder="1" applyFill="1" applyFont="1">
      <alignment horizontal="center" readingOrder="0" shrinkToFit="0" vertical="center" wrapText="1"/>
    </xf>
    <xf borderId="9" fillId="0" fontId="4" numFmtId="0" xfId="0" applyAlignment="1" applyBorder="1" applyFont="1">
      <alignment readingOrder="0" shrinkToFit="0" vertical="center" wrapText="1"/>
    </xf>
    <xf borderId="0" fillId="0" fontId="15" numFmtId="0" xfId="0" applyAlignment="1" applyFont="1">
      <alignment shrinkToFit="0" vertical="bottom" wrapText="0"/>
    </xf>
    <xf borderId="9" fillId="0" fontId="18" numFmtId="0" xfId="0" applyAlignment="1" applyBorder="1" applyFont="1">
      <alignment readingOrder="0" shrinkToFit="0" vertical="center" wrapText="1"/>
    </xf>
    <xf borderId="9" fillId="0" fontId="4" numFmtId="0" xfId="0" applyAlignment="1" applyBorder="1" applyFont="1">
      <alignment readingOrder="0" shrinkToFit="0" vertical="bottom" wrapText="1"/>
    </xf>
    <xf borderId="0" fillId="0" fontId="15" numFmtId="0" xfId="0" applyAlignment="1" applyFont="1">
      <alignment readingOrder="0" shrinkToFit="0" vertical="bottom" wrapText="1"/>
    </xf>
    <xf borderId="0" fillId="0" fontId="15" numFmtId="0" xfId="0" applyAlignment="1" applyFont="1">
      <alignment shrinkToFit="0" vertical="bottom" wrapText="1"/>
    </xf>
    <xf borderId="9" fillId="0" fontId="4" numFmtId="0" xfId="0" applyAlignment="1" applyBorder="1" applyFont="1">
      <alignment readingOrder="0" vertical="center"/>
    </xf>
    <xf borderId="0" fillId="0" fontId="15" numFmtId="0" xfId="0" applyAlignment="1" applyFont="1">
      <alignment horizontal="center" shrinkToFit="0" vertical="center" wrapText="1"/>
    </xf>
    <xf borderId="9" fillId="0" fontId="19" numFmtId="0" xfId="0" applyAlignment="1" applyBorder="1" applyFont="1">
      <alignment readingOrder="0" shrinkToFit="0" vertical="bottom" wrapText="1"/>
    </xf>
    <xf borderId="0" fillId="0" fontId="14" numFmtId="0" xfId="0" applyAlignment="1" applyFont="1">
      <alignment readingOrder="0" shrinkToFit="0" vertical="center" wrapText="1"/>
    </xf>
    <xf borderId="0" fillId="0" fontId="20" numFmtId="0" xfId="0" applyAlignment="1" applyFont="1">
      <alignment readingOrder="0" vertical="bottom"/>
    </xf>
    <xf borderId="0" fillId="0" fontId="4" numFmtId="0" xfId="0" applyAlignment="1" applyFont="1">
      <alignment horizontal="center" vertical="bottom"/>
    </xf>
    <xf borderId="9" fillId="0" fontId="3" numFmtId="0" xfId="0" applyAlignment="1" applyBorder="1" applyFont="1">
      <alignment readingOrder="0" shrinkToFit="0" wrapText="1"/>
    </xf>
    <xf borderId="9" fillId="0" fontId="4" numFmtId="0" xfId="0" applyAlignment="1" applyBorder="1" applyFont="1">
      <alignment horizontal="left" readingOrder="0" vertical="bottom"/>
    </xf>
    <xf borderId="14" fillId="4" fontId="21" numFmtId="0" xfId="0" applyAlignment="1" applyBorder="1" applyFill="1" applyFont="1">
      <alignment horizontal="center" readingOrder="0" shrinkToFit="0" vertical="center" wrapText="1"/>
    </xf>
    <xf borderId="0" fillId="0" fontId="22" numFmtId="0" xfId="0" applyAlignment="1" applyFont="1">
      <alignment shrinkToFit="0" vertical="center" wrapText="1"/>
    </xf>
    <xf borderId="0" fillId="0" fontId="14" numFmtId="0" xfId="0" applyAlignment="1" applyFont="1">
      <alignment readingOrder="0" shrinkToFit="0" vertical="bottom" wrapText="1"/>
    </xf>
    <xf borderId="0" fillId="3" fontId="15" numFmtId="0" xfId="0" applyAlignment="1" applyFill="1" applyFont="1">
      <alignment shrinkToFit="0" vertical="center" wrapText="1"/>
    </xf>
    <xf borderId="0" fillId="3" fontId="15" numFmtId="0" xfId="0" applyAlignment="1" applyFill="1" applyFont="1">
      <alignment shrinkToFit="0" vertical="center" wrapText="0"/>
    </xf>
    <xf borderId="0" fillId="0" fontId="23" numFmtId="0" xfId="0" applyAlignment="1" applyFont="1">
      <alignment horizontal="center" shrinkToFit="0" vertical="center" wrapText="1"/>
    </xf>
    <xf borderId="0" fillId="0" fontId="24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15" numFmtId="0" xfId="0" applyAlignment="1" applyFont="1">
      <alignment shrinkToFit="0" vertical="center" wrapText="0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54ADA"/>
          <bgColor rgb="FF054AD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054ADA"/>
        </left>
        <right style="thin">
          <color rgb="FF054ADA"/>
        </right>
        <top style="thin">
          <color rgb="FF054ADA"/>
        </top>
        <bottom style="thin">
          <color rgb="FF054ADA"/>
        </bottom>
      </border>
    </dxf>
  </dxfs>
  <tableStyles count="3">
    <tableStyle count="4" pivot="0" name="Brand + Websi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op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g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1</xdr:row>
      <xdr:rowOff>47625</xdr:rowOff>
    </xdr:from>
    <xdr:ext cx="1276350" cy="4762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9525</xdr:rowOff>
    </xdr:from>
    <xdr:ext cx="1276350" cy="476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9525</xdr:rowOff>
    </xdr:from>
    <xdr:ext cx="1276350" cy="4762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9525</xdr:rowOff>
    </xdr:from>
    <xdr:ext cx="1276350" cy="476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H152" displayName="Main_Brand" name="Main_Brand" id="1">
  <tableColumns count="8">
    <tableColumn name="Checklist Item" id="1"/>
    <tableColumn name="Source" id="2"/>
    <tableColumn name="Category" id="3"/>
    <tableColumn name="Entity to Check" id="4"/>
    <tableColumn name="Score" id="5"/>
    <tableColumn name="Score %" id="6"/>
    <tableColumn name="Notes" id="7"/>
    <tableColumn name="Next Step" id="8"/>
  </tableColumns>
  <tableStyleInfo name="Brand + Website-style" showColumnStripes="0" showFirstColumn="1" showLastColumn="1" showRowStripes="1"/>
</table>
</file>

<file path=xl/tables/table2.xml><?xml version="1.0" encoding="utf-8"?>
<table xmlns="http://schemas.openxmlformats.org/spreadsheetml/2006/main" ref="A4:H68" displayName="People" name="People" id="2">
  <tableColumns count="8">
    <tableColumn name="Checklist Item" id="1"/>
    <tableColumn name="Source" id="2"/>
    <tableColumn name="Category" id="3"/>
    <tableColumn name="Entity to Check" id="4"/>
    <tableColumn name="Score" id="5"/>
    <tableColumn name="Score %" id="6"/>
    <tableColumn name="Notes" id="7"/>
    <tableColumn name="Next Step" id="8"/>
  </tableColumns>
  <tableStyleInfo name="People-style" showColumnStripes="0" showFirstColumn="1" showLastColumn="1" showRowStripes="1"/>
</table>
</file>

<file path=xl/tables/table3.xml><?xml version="1.0" encoding="utf-8"?>
<table xmlns="http://schemas.openxmlformats.org/spreadsheetml/2006/main" ref="A4:H75" displayName="Pages" name="Pages" id="3">
  <tableColumns count="8">
    <tableColumn name="Checklist Item" id="1"/>
    <tableColumn name="Source" id="2"/>
    <tableColumn name="Category" id="3"/>
    <tableColumn name="Entity to Check" id="4"/>
    <tableColumn name="Score" id="5"/>
    <tableColumn name="Score %" id="6"/>
    <tableColumn name="Notes" id="7"/>
    <tableColumn name="Next Step" id="8"/>
  </tableColumns>
  <tableStyleInfo name="Pag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tatic.googleusercontent.com/media/guidelines.raterhub.com/en//searchqualityevaluatorguidelines.pd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evelopers.google.com/search/docs/fundamentals/creating-helpful-content" TargetMode="External"/><Relationship Id="rId3" Type="http://schemas.openxmlformats.org/officeDocument/2006/relationships/hyperlink" Target="https://developers.google.com/search/docs/fundamentals/creating-helpful-content" TargetMode="External"/><Relationship Id="rId4" Type="http://schemas.openxmlformats.org/officeDocument/2006/relationships/hyperlink" Target="https://developers.google.com/search/docs/fundamentals/creating-helpful-content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developers.google.com/search/docs/fundamentals/creating-helpful-content" TargetMode="External"/><Relationship Id="rId6" Type="http://schemas.openxmlformats.org/officeDocument/2006/relationships/drawing" Target="../drawings/drawing3.xml"/><Relationship Id="rId7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en.wikipedia.org/wiki/Arnold_Schwarzenegger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2.vml"/><Relationship Id="rId6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static.googleusercontent.com/media/guidelines.raterhub.com/en//searchqualityevaluatorguidelines.pdf" TargetMode="External"/><Relationship Id="rId2" Type="http://schemas.openxmlformats.org/officeDocument/2006/relationships/hyperlink" Target="https://services.google.com/fh/files/misc/hsw-sqrg.pdf" TargetMode="External"/><Relationship Id="rId3" Type="http://schemas.openxmlformats.org/officeDocument/2006/relationships/hyperlink" Target="https://developers.google.com/search/blog/2022/12/google-raters-guidelines-e-e-a-t" TargetMode="External"/><Relationship Id="rId4" Type="http://schemas.openxmlformats.org/officeDocument/2006/relationships/hyperlink" Target="https://developers.google.com/search/blog/2023/11/search-quality-rater-guidelines-update" TargetMode="External"/><Relationship Id="rId11" Type="http://schemas.openxmlformats.org/officeDocument/2006/relationships/hyperlink" Target="https://static.googleusercontent.com/media/guidelines.raterhub.com/en//searchqualityevaluatorguidelines.pdf" TargetMode="External"/><Relationship Id="rId10" Type="http://schemas.openxmlformats.org/officeDocument/2006/relationships/hyperlink" Target="https://developers.google.com/search/blog/2023/02/google-search-and-ai-content" TargetMode="External"/><Relationship Id="rId12" Type="http://schemas.openxmlformats.org/officeDocument/2006/relationships/drawing" Target="../drawings/drawing7.xml"/><Relationship Id="rId9" Type="http://schemas.openxmlformats.org/officeDocument/2006/relationships/hyperlink" Target="https://blog.google/products-and-platforms/products/search/raters-experiments-improve-google-search/" TargetMode="External"/><Relationship Id="rId5" Type="http://schemas.openxmlformats.org/officeDocument/2006/relationships/hyperlink" Target="https://developers.google.com/search/blog/2019/08/core-updates" TargetMode="External"/><Relationship Id="rId6" Type="http://schemas.openxmlformats.org/officeDocument/2006/relationships/hyperlink" Target="https://developers.google.com/search/docs/fundamentals/creating-helpful-content" TargetMode="External"/><Relationship Id="rId7" Type="http://schemas.openxmlformats.org/officeDocument/2006/relationships/hyperlink" Target="https://developers.google.com/search/blog/2022/08/helpful-content-update" TargetMode="External"/><Relationship Id="rId8" Type="http://schemas.openxmlformats.org/officeDocument/2006/relationships/hyperlink" Target="https://blog.google/products-and-platforms/products/search/how-google-delivers-reliable-information-sear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88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25"/>
  </cols>
  <sheetData>
    <row r="1" ht="10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10" t="s">
        <v>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/>
      <c r="B7" s="11" t="s">
        <v>8</v>
      </c>
      <c r="C7" s="13"/>
      <c r="D7" s="13"/>
      <c r="E7" s="13"/>
      <c r="F7" s="13"/>
      <c r="G7" s="14"/>
      <c r="H7" s="3"/>
      <c r="I7" s="3"/>
      <c r="J7" s="3"/>
      <c r="K7" s="3"/>
      <c r="L7" s="3"/>
      <c r="M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>
      <c r="A9" s="3"/>
      <c r="B9" s="10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>
      <c r="A11" s="3"/>
      <c r="B11" s="18" t="s">
        <v>17</v>
      </c>
      <c r="C11" s="21" t="s">
        <v>20</v>
      </c>
      <c r="D11" s="13"/>
      <c r="E11" s="13"/>
      <c r="F11" s="13"/>
      <c r="G11" s="24"/>
      <c r="H11" s="3"/>
      <c r="I11" s="3"/>
      <c r="J11" s="3"/>
      <c r="K11" s="3"/>
      <c r="L11" s="3"/>
      <c r="M11" s="3"/>
    </row>
    <row r="12">
      <c r="A12" s="3"/>
      <c r="B12" s="3"/>
      <c r="C12" s="42" t="s">
        <v>21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>
      <c r="A13" s="3"/>
      <c r="B13" s="3"/>
      <c r="C13" s="46" t="s">
        <v>25</v>
      </c>
      <c r="D13" s="3"/>
      <c r="E13" s="3"/>
      <c r="F13" s="3"/>
      <c r="G13" s="3"/>
      <c r="H13" s="3"/>
      <c r="I13" s="3"/>
      <c r="J13" s="3"/>
      <c r="K13" s="3"/>
      <c r="L13" s="3"/>
      <c r="M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>
      <c r="A15" s="3"/>
      <c r="B15" s="47" t="s">
        <v>31</v>
      </c>
      <c r="C15" s="47" t="s">
        <v>33</v>
      </c>
      <c r="D15" s="3"/>
      <c r="E15" s="3"/>
      <c r="F15" s="3"/>
      <c r="G15" s="3"/>
      <c r="H15" s="3"/>
      <c r="I15" s="3"/>
      <c r="J15" s="3"/>
      <c r="K15" s="3"/>
      <c r="L15" s="3"/>
      <c r="M15" s="3"/>
    </row>
    <row r="16">
      <c r="A16" s="3"/>
      <c r="B16" s="3"/>
      <c r="C16" s="46" t="s">
        <v>35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>
      <c r="A17" s="3"/>
      <c r="B17" s="3"/>
      <c r="C17" s="46" t="s">
        <v>37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>
      <c r="A18" s="3"/>
      <c r="B18" s="3"/>
      <c r="C18" s="46" t="s">
        <v>39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>
      <c r="A20" s="3"/>
      <c r="B20" s="47" t="s">
        <v>42</v>
      </c>
      <c r="C20" s="47" t="s">
        <v>43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>
      <c r="A21" s="3"/>
      <c r="B21" s="3"/>
      <c r="C21" s="46" t="s">
        <v>44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>
      <c r="A22" s="3"/>
      <c r="B22" s="3"/>
      <c r="C22" s="46" t="s">
        <v>45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>
      <c r="A23" s="3"/>
      <c r="B23" s="3"/>
      <c r="C23" s="46" t="s">
        <v>47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>
      <c r="A25" s="3"/>
      <c r="B25" s="47" t="s">
        <v>48</v>
      </c>
      <c r="C25" s="47" t="s">
        <v>49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>
      <c r="A26" s="3"/>
      <c r="B26" s="3"/>
      <c r="C26" s="46" t="s">
        <v>50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>
      <c r="A27" s="3"/>
      <c r="B27" s="3"/>
      <c r="C27" s="46" t="s">
        <v>51</v>
      </c>
      <c r="D27" s="3"/>
      <c r="E27" s="3"/>
      <c r="F27" s="3"/>
      <c r="G27" s="3"/>
      <c r="H27" s="3"/>
      <c r="I27" s="3"/>
      <c r="J27" s="3"/>
      <c r="K27" s="3"/>
      <c r="L27" s="3"/>
      <c r="M27" s="3"/>
    </row>
    <row r="28">
      <c r="A28" s="3"/>
      <c r="B28" s="3"/>
      <c r="C28" s="46" t="s">
        <v>53</v>
      </c>
      <c r="D28" s="3"/>
      <c r="E28" s="3"/>
      <c r="F28" s="3"/>
      <c r="G28" s="3"/>
      <c r="H28" s="3"/>
      <c r="I28" s="3"/>
      <c r="J28" s="3"/>
      <c r="K28" s="3"/>
      <c r="L28" s="3"/>
      <c r="M28" s="3"/>
    </row>
    <row r="29">
      <c r="A29" s="3"/>
      <c r="B29" s="3"/>
      <c r="C29" s="46" t="s">
        <v>54</v>
      </c>
      <c r="D29" s="3"/>
      <c r="E29" s="3"/>
      <c r="F29" s="3"/>
      <c r="G29" s="3"/>
      <c r="H29" s="3"/>
      <c r="I29" s="3"/>
      <c r="J29" s="3"/>
      <c r="K29" s="3"/>
      <c r="L29" s="3"/>
      <c r="M29" s="3"/>
    </row>
    <row r="30">
      <c r="A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>
      <c r="A31" s="3"/>
      <c r="B31" s="47" t="s">
        <v>59</v>
      </c>
      <c r="C31" s="47" t="s">
        <v>60</v>
      </c>
      <c r="D31" s="3"/>
      <c r="E31" s="3"/>
      <c r="F31" s="3"/>
      <c r="G31" s="3"/>
      <c r="H31" s="3"/>
      <c r="I31" s="3"/>
      <c r="J31" s="3"/>
      <c r="K31" s="3"/>
      <c r="L31" s="3"/>
      <c r="M31" s="3"/>
    </row>
    <row r="32">
      <c r="A32" s="3"/>
      <c r="B32" s="3"/>
      <c r="C32" s="46" t="s">
        <v>61</v>
      </c>
      <c r="D32" s="3"/>
      <c r="E32" s="3"/>
      <c r="F32" s="3"/>
      <c r="G32" s="3"/>
      <c r="H32" s="3"/>
      <c r="I32" s="3"/>
      <c r="J32" s="3"/>
      <c r="K32" s="3"/>
      <c r="L32" s="3"/>
      <c r="M32" s="3"/>
    </row>
    <row r="33">
      <c r="A33" s="3"/>
      <c r="B33" s="3"/>
      <c r="C33" s="46" t="s">
        <v>63</v>
      </c>
      <c r="D33" s="3"/>
      <c r="E33" s="3"/>
      <c r="F33" s="3"/>
      <c r="G33" s="3"/>
      <c r="H33" s="3"/>
      <c r="I33" s="3"/>
      <c r="J33" s="3"/>
      <c r="K33" s="3"/>
      <c r="L33" s="3"/>
      <c r="M33" s="3"/>
    </row>
    <row r="34">
      <c r="A34" s="3"/>
      <c r="B34" s="3"/>
      <c r="C34" s="46" t="s">
        <v>64</v>
      </c>
      <c r="D34" s="3"/>
      <c r="E34" s="3"/>
      <c r="F34" s="3"/>
      <c r="G34" s="3"/>
      <c r="H34" s="3"/>
      <c r="I34" s="3"/>
      <c r="J34" s="3"/>
      <c r="K34" s="3"/>
      <c r="L34" s="3"/>
      <c r="M34" s="3"/>
    </row>
    <row r="35">
      <c r="A35" s="3"/>
      <c r="B35" s="3"/>
      <c r="C35" s="46" t="s">
        <v>65</v>
      </c>
      <c r="D35" s="3"/>
      <c r="E35" s="3"/>
      <c r="F35" s="3"/>
      <c r="G35" s="3"/>
      <c r="H35" s="3"/>
      <c r="I35" s="3"/>
      <c r="J35" s="3"/>
      <c r="K35" s="3"/>
      <c r="L35" s="3"/>
      <c r="M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>
      <c r="A38" s="3"/>
      <c r="B38" s="47" t="s">
        <v>69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>
      <c r="A39" s="3"/>
      <c r="B39" s="3"/>
      <c r="C39" s="46" t="s">
        <v>71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>
      <c r="A40" s="3"/>
      <c r="B40" s="3"/>
      <c r="C40" s="46" t="s">
        <v>72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>
      <c r="A41" s="3"/>
      <c r="B41" s="3"/>
      <c r="C41" s="46" t="s">
        <v>74</v>
      </c>
      <c r="D41" s="3"/>
      <c r="E41" s="3"/>
      <c r="F41" s="3"/>
      <c r="G41" s="3"/>
      <c r="H41" s="3"/>
      <c r="I41" s="3"/>
      <c r="J41" s="3"/>
      <c r="K41" s="3"/>
      <c r="L41" s="3"/>
      <c r="M41" s="3"/>
    </row>
    <row r="42">
      <c r="A42" s="3"/>
      <c r="B42" s="3"/>
      <c r="C42" s="46" t="s">
        <v>77</v>
      </c>
      <c r="D42" s="3"/>
      <c r="E42" s="3"/>
      <c r="F42" s="3"/>
      <c r="G42" s="3"/>
      <c r="H42" s="3"/>
      <c r="I42" s="3"/>
      <c r="J42" s="3"/>
      <c r="K42" s="3"/>
      <c r="L42" s="3"/>
      <c r="M42" s="3"/>
    </row>
    <row r="43">
      <c r="A43" s="3"/>
      <c r="B43" s="3"/>
      <c r="C43" s="68" t="s">
        <v>80</v>
      </c>
      <c r="D43" s="3"/>
      <c r="E43" s="3"/>
      <c r="F43" s="3"/>
      <c r="G43" s="3"/>
      <c r="H43" s="3"/>
      <c r="I43" s="3"/>
      <c r="J43" s="3"/>
      <c r="K43" s="3"/>
      <c r="L43" s="3"/>
      <c r="M43" s="3"/>
    </row>
    <row r="44">
      <c r="A44" s="3"/>
      <c r="B44" s="3"/>
      <c r="C44" s="46" t="s">
        <v>82</v>
      </c>
      <c r="D44" s="3"/>
      <c r="E44" s="3"/>
      <c r="F44" s="3"/>
      <c r="G44" s="3"/>
      <c r="H44" s="3"/>
      <c r="I44" s="3"/>
      <c r="J44" s="3"/>
      <c r="K44" s="3"/>
      <c r="L44" s="3"/>
      <c r="M44" s="3"/>
    </row>
    <row r="45">
      <c r="A45" s="3"/>
      <c r="B45" s="3"/>
      <c r="C45" s="46" t="s">
        <v>83</v>
      </c>
      <c r="D45" s="3"/>
      <c r="E45" s="3"/>
      <c r="F45" s="3"/>
      <c r="G45" s="3"/>
      <c r="H45" s="3"/>
      <c r="I45" s="3"/>
      <c r="J45" s="3"/>
      <c r="K45" s="3"/>
      <c r="L45" s="3"/>
      <c r="M45" s="3"/>
    </row>
    <row r="46">
      <c r="A46" s="3"/>
      <c r="B46" s="3"/>
      <c r="C46" s="46" t="s">
        <v>85</v>
      </c>
      <c r="D46" s="3"/>
      <c r="E46" s="3"/>
      <c r="F46" s="3"/>
      <c r="G46" s="3"/>
      <c r="H46" s="3"/>
      <c r="I46" s="3"/>
      <c r="J46" s="3"/>
      <c r="K46" s="3"/>
      <c r="L46" s="3"/>
      <c r="M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</sheetData>
  <mergeCells count="2">
    <mergeCell ref="B7:G7"/>
    <mergeCell ref="C11:F11"/>
  </mergeCells>
  <hyperlinks>
    <hyperlink r:id="rId1" ref="C1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13"/>
    <col customWidth="1" min="2" max="2" width="34.38"/>
    <col customWidth="1" min="3" max="6" width="21.13"/>
  </cols>
  <sheetData>
    <row r="1">
      <c r="A1" s="1" t="s">
        <v>0</v>
      </c>
      <c r="B1" s="2"/>
      <c r="C1" s="2"/>
      <c r="D1" s="2"/>
      <c r="E1" s="2"/>
      <c r="F1" s="4"/>
    </row>
    <row r="2">
      <c r="A2" s="5"/>
      <c r="B2" s="5"/>
      <c r="C2" s="5"/>
      <c r="D2" s="5"/>
      <c r="E2" s="5"/>
      <c r="F2" s="5"/>
    </row>
    <row r="3">
      <c r="A3" s="6" t="s">
        <v>1</v>
      </c>
      <c r="B3" s="7"/>
      <c r="C3" s="8"/>
      <c r="D3" s="5"/>
      <c r="E3" s="5"/>
      <c r="F3" s="5"/>
    </row>
    <row r="4">
      <c r="A4" s="9" t="s">
        <v>2</v>
      </c>
      <c r="B4" s="5"/>
      <c r="C4" s="5"/>
      <c r="D4" s="5"/>
      <c r="E4" s="5"/>
      <c r="F4" s="5"/>
    </row>
    <row r="5">
      <c r="A5" s="5" t="s">
        <v>4</v>
      </c>
      <c r="B5" s="5"/>
      <c r="C5" s="5"/>
      <c r="D5" s="5"/>
      <c r="E5" s="5"/>
      <c r="F5" s="5"/>
    </row>
    <row r="6">
      <c r="A6" s="5" t="s">
        <v>5</v>
      </c>
      <c r="B6" s="5"/>
      <c r="C6" s="5"/>
      <c r="D6" s="5"/>
      <c r="E6" s="5"/>
      <c r="F6" s="5"/>
    </row>
    <row r="7">
      <c r="A7" s="5" t="s">
        <v>6</v>
      </c>
      <c r="B7" s="5"/>
      <c r="C7" s="5"/>
      <c r="D7" s="5"/>
      <c r="E7" s="5"/>
      <c r="F7" s="5"/>
    </row>
    <row r="8">
      <c r="A8" s="5"/>
      <c r="B8" s="5"/>
      <c r="C8" s="5"/>
      <c r="D8" s="5"/>
      <c r="E8" s="5"/>
      <c r="F8" s="5"/>
    </row>
    <row r="9">
      <c r="A9" s="6" t="s">
        <v>7</v>
      </c>
      <c r="B9" s="7"/>
      <c r="C9" s="7"/>
      <c r="D9" s="7"/>
      <c r="E9" s="7"/>
      <c r="F9" s="8"/>
    </row>
    <row r="10">
      <c r="A10" s="5"/>
      <c r="B10" s="5"/>
      <c r="C10" s="5"/>
      <c r="D10" s="5"/>
      <c r="E10" s="5"/>
      <c r="F10" s="5"/>
    </row>
    <row r="11">
      <c r="A11" s="12" t="s">
        <v>9</v>
      </c>
      <c r="B11" s="12" t="s">
        <v>10</v>
      </c>
      <c r="C11" s="12" t="s">
        <v>11</v>
      </c>
      <c r="D11" s="12" t="s">
        <v>12</v>
      </c>
      <c r="E11" s="12" t="s">
        <v>13</v>
      </c>
      <c r="F11" s="12" t="s">
        <v>14</v>
      </c>
    </row>
    <row r="12">
      <c r="A12" s="15" t="s">
        <v>15</v>
      </c>
      <c r="B12" s="19" t="str">
        <f>iferror(AVERAGEIF('Brand + Website'!$C:$C,"*Experience*",'Brand + Website'!$F:$F),"")</f>
        <v/>
      </c>
      <c r="C12" s="19" t="str">
        <f>iferror(AVERAGEIF('Brand + Website'!$C:$C,"*Expertise*",'Brand + Website'!$F:$F),"")</f>
        <v/>
      </c>
      <c r="D12" s="19" t="str">
        <f>iferror(AVERAGEIF('Brand + Website'!$C:$C,"*Authorit*",'Brand + Website'!$F:$F),"")</f>
        <v/>
      </c>
      <c r="E12" s="19" t="str">
        <f>iferror(AVERAGEIF('Brand + Website'!$C:$C,"*Trust*",'Brand + Website'!$F:$F),"")</f>
        <v/>
      </c>
      <c r="F12" s="19" t="str">
        <f t="shared" ref="F12:F14" si="1">iferror(AVERAGE(B12:E12),"")</f>
        <v/>
      </c>
    </row>
    <row r="13">
      <c r="A13" s="35" t="s">
        <v>22</v>
      </c>
      <c r="B13" s="19" t="str">
        <f>iferror(AVERAGEIF(People!$C:$C,"*Experience*",People!$F:$F),"")</f>
        <v/>
      </c>
      <c r="C13" s="19" t="str">
        <f>iferror(AVERAGEIF(People!$C:$C,"*Expertise*",People!$F:$F),"")</f>
        <v/>
      </c>
      <c r="D13" s="19" t="str">
        <f>iferror(AVERAGEIF(People!$C:$C,"*Authorit*",People!$F:$F),"")</f>
        <v/>
      </c>
      <c r="E13" s="19" t="str">
        <f>iferror(AVERAGEIF(People!$C:$C,"*Trust*",People!$F:$F),"")</f>
        <v/>
      </c>
      <c r="F13" s="19" t="str">
        <f t="shared" si="1"/>
        <v/>
      </c>
    </row>
    <row r="14">
      <c r="A14" s="35" t="s">
        <v>27</v>
      </c>
      <c r="B14" s="19" t="str">
        <f>iferror(AVERAGEIF(Pages!$C:$C,"*Experience*",Pages!$F:$F),"")</f>
        <v/>
      </c>
      <c r="C14" s="19" t="str">
        <f>iferror(AVERAGEIF(Pages!$C:$C,"*Expertise*",Pages!$F:$F),"")</f>
        <v/>
      </c>
      <c r="D14" s="19" t="str">
        <f>iferror(AVERAGEIF(Pages!$C:$C,"*Authorit*",Pages!$F:$F),"")</f>
        <v/>
      </c>
      <c r="E14" s="19" t="str">
        <f>iferror(AVERAGEIF(Pages!$C:$C,"*Trust*",Pages!$F:$F),"")</f>
        <v/>
      </c>
      <c r="F14" s="19" t="str">
        <f t="shared" si="1"/>
        <v/>
      </c>
    </row>
    <row r="15">
      <c r="A15" s="53"/>
      <c r="B15" s="56"/>
      <c r="C15" s="56"/>
      <c r="D15" s="56"/>
      <c r="E15" s="56"/>
      <c r="F15" s="56"/>
    </row>
    <row r="16">
      <c r="A16" s="58" t="s">
        <v>46</v>
      </c>
      <c r="B16" s="19" t="str">
        <f t="shared" ref="B16:F16" si="2">iferror(AVERAGE(B12:B14),"")</f>
        <v/>
      </c>
      <c r="C16" s="19" t="str">
        <f t="shared" si="2"/>
        <v/>
      </c>
      <c r="D16" s="19" t="str">
        <f t="shared" si="2"/>
        <v/>
      </c>
      <c r="E16" s="19" t="str">
        <f t="shared" si="2"/>
        <v/>
      </c>
      <c r="F16" s="19" t="str">
        <f t="shared" si="2"/>
        <v/>
      </c>
    </row>
    <row r="17">
      <c r="A17" s="5"/>
      <c r="B17" s="5"/>
      <c r="C17" s="5"/>
      <c r="D17" s="5"/>
      <c r="E17" s="5"/>
      <c r="F17" s="5"/>
    </row>
    <row r="18">
      <c r="A18" s="5"/>
      <c r="B18" s="5"/>
      <c r="C18" s="5"/>
      <c r="D18" s="5"/>
      <c r="E18" s="5"/>
      <c r="F18" s="5"/>
    </row>
    <row r="19">
      <c r="A19" s="6" t="s">
        <v>52</v>
      </c>
      <c r="B19" s="7"/>
      <c r="C19" s="7"/>
      <c r="D19" s="8"/>
      <c r="E19" s="5"/>
      <c r="F19" s="5"/>
    </row>
    <row r="20">
      <c r="A20" s="5"/>
      <c r="B20" s="5"/>
      <c r="C20" s="5"/>
      <c r="D20" s="5"/>
      <c r="E20" s="5"/>
      <c r="F20" s="5"/>
    </row>
    <row r="21">
      <c r="A21" s="12" t="s">
        <v>55</v>
      </c>
      <c r="B21" s="12" t="s">
        <v>56</v>
      </c>
      <c r="C21" s="12" t="s">
        <v>57</v>
      </c>
      <c r="D21" s="59" t="s">
        <v>58</v>
      </c>
      <c r="E21" s="5"/>
      <c r="F21" s="5"/>
    </row>
    <row r="22">
      <c r="A22" s="60" t="s">
        <v>10</v>
      </c>
      <c r="B22" s="60" t="s">
        <v>62</v>
      </c>
      <c r="C22" s="62" t="str">
        <f>B16</f>
        <v/>
      </c>
      <c r="D22" s="66" t="str">
        <f t="shared" ref="D22:D25" si="3">IF(C22="","Not Scored",IF(C22&lt;=40,"Critical",IF(C22&lt;=60,"High",IF(C22&lt;=75,"Medium","Low"))))</f>
        <v>Not Scored</v>
      </c>
      <c r="E22" s="5"/>
      <c r="F22" s="5"/>
    </row>
    <row r="23">
      <c r="A23" s="60" t="s">
        <v>11</v>
      </c>
      <c r="B23" s="67" t="s">
        <v>73</v>
      </c>
      <c r="C23" s="62" t="str">
        <f>C16</f>
        <v/>
      </c>
      <c r="D23" s="66" t="str">
        <f t="shared" si="3"/>
        <v>Not Scored</v>
      </c>
      <c r="E23" s="5"/>
      <c r="F23" s="5"/>
    </row>
    <row r="24">
      <c r="A24" s="60" t="s">
        <v>78</v>
      </c>
      <c r="B24" s="60" t="s">
        <v>79</v>
      </c>
      <c r="C24" s="62" t="str">
        <f>D16</f>
        <v/>
      </c>
      <c r="D24" s="66" t="str">
        <f t="shared" si="3"/>
        <v>Not Scored</v>
      </c>
      <c r="E24" s="5"/>
      <c r="F24" s="5"/>
    </row>
    <row r="25">
      <c r="A25" s="60" t="s">
        <v>13</v>
      </c>
      <c r="B25" s="60" t="s">
        <v>81</v>
      </c>
      <c r="C25" s="62" t="str">
        <f>E16</f>
        <v/>
      </c>
      <c r="D25" s="66" t="str">
        <f t="shared" si="3"/>
        <v>Not Scored</v>
      </c>
      <c r="E25" s="5"/>
      <c r="F25" s="5"/>
    </row>
  </sheetData>
  <mergeCells count="4">
    <mergeCell ref="A1:F1"/>
    <mergeCell ref="A3:C3"/>
    <mergeCell ref="A9:F9"/>
    <mergeCell ref="A19:D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5.0"/>
    <col customWidth="1" min="2" max="2" width="32.5"/>
    <col customWidth="1" min="3" max="3" width="30.88"/>
    <col customWidth="1" min="4" max="4" width="24.0"/>
    <col customWidth="1" min="5" max="5" width="31.0"/>
    <col customWidth="1" min="6" max="6" width="13.88"/>
    <col customWidth="1" min="7" max="8" width="14.25"/>
  </cols>
  <sheetData>
    <row r="1" ht="43.5" customHeight="1">
      <c r="A1" s="17"/>
      <c r="B1" s="20" t="s">
        <v>19</v>
      </c>
      <c r="C1" s="7"/>
      <c r="D1" s="7"/>
      <c r="E1" s="7"/>
      <c r="F1" s="23"/>
      <c r="G1" s="23"/>
      <c r="H1" s="25"/>
    </row>
    <row r="2">
      <c r="A2" s="27"/>
      <c r="B2" s="28"/>
      <c r="C2" s="28"/>
      <c r="D2" s="28"/>
      <c r="E2" s="30"/>
      <c r="F2" s="32"/>
      <c r="G2" s="34"/>
      <c r="H2" s="36"/>
    </row>
    <row r="3">
      <c r="A3" s="38"/>
      <c r="B3" s="40"/>
      <c r="C3" s="40"/>
      <c r="D3" s="30"/>
      <c r="E3" s="30"/>
      <c r="F3" s="32"/>
      <c r="G3" s="34"/>
      <c r="H3" s="36"/>
    </row>
    <row r="4" ht="22.5" customHeight="1">
      <c r="A4" s="44" t="s">
        <v>23</v>
      </c>
      <c r="B4" s="45" t="s">
        <v>24</v>
      </c>
      <c r="C4" s="43" t="s">
        <v>26</v>
      </c>
      <c r="D4" s="43" t="s">
        <v>28</v>
      </c>
      <c r="E4" s="45" t="s">
        <v>29</v>
      </c>
      <c r="F4" s="45" t="s">
        <v>30</v>
      </c>
      <c r="G4" s="48" t="s">
        <v>32</v>
      </c>
      <c r="H4" s="48" t="s">
        <v>34</v>
      </c>
    </row>
    <row r="5" ht="22.5" customHeight="1">
      <c r="A5" s="50" t="s">
        <v>38</v>
      </c>
      <c r="B5" s="52" t="s">
        <v>40</v>
      </c>
      <c r="C5" s="54"/>
      <c r="D5" s="54"/>
      <c r="E5" s="57"/>
      <c r="F5" s="57" t="str">
        <f t="array" ref="F5:F152">ifna(vlookup(E5:E152,'Scoring Guide'!A6:B10,2,false),"")</f>
        <v/>
      </c>
      <c r="G5" s="63"/>
      <c r="H5" s="63"/>
    </row>
    <row r="6" ht="22.5" customHeight="1">
      <c r="A6" s="64" t="s">
        <v>66</v>
      </c>
      <c r="B6" s="65" t="s">
        <v>70</v>
      </c>
      <c r="C6" s="65" t="s">
        <v>75</v>
      </c>
      <c r="D6" s="71" t="s">
        <v>86</v>
      </c>
      <c r="E6" s="71"/>
      <c r="F6" s="73"/>
      <c r="G6" s="72"/>
      <c r="H6" s="72"/>
    </row>
    <row r="7" ht="22.5" customHeight="1">
      <c r="A7" s="74" t="s">
        <v>90</v>
      </c>
      <c r="B7" s="69" t="s">
        <v>92</v>
      </c>
      <c r="C7" s="69" t="s">
        <v>93</v>
      </c>
      <c r="D7" s="71" t="s">
        <v>95</v>
      </c>
      <c r="E7" s="71"/>
      <c r="F7" s="73"/>
      <c r="G7" s="72"/>
      <c r="H7" s="72"/>
    </row>
    <row r="8" ht="22.5" customHeight="1">
      <c r="A8" s="74" t="s">
        <v>101</v>
      </c>
      <c r="B8" s="69" t="s">
        <v>103</v>
      </c>
      <c r="C8" s="69" t="s">
        <v>106</v>
      </c>
      <c r="D8" s="80" t="s">
        <v>112</v>
      </c>
      <c r="E8" s="71"/>
      <c r="F8" s="73"/>
      <c r="G8" s="72"/>
      <c r="H8" s="72"/>
    </row>
    <row r="9" ht="22.5" customHeight="1">
      <c r="A9" s="74" t="s">
        <v>130</v>
      </c>
      <c r="B9" s="69" t="s">
        <v>131</v>
      </c>
      <c r="C9" s="69" t="s">
        <v>13</v>
      </c>
      <c r="D9" s="71" t="s">
        <v>112</v>
      </c>
      <c r="E9" s="71"/>
      <c r="F9" s="73"/>
      <c r="G9" s="72"/>
      <c r="H9" s="72"/>
    </row>
    <row r="10" ht="22.5" customHeight="1">
      <c r="A10" s="64" t="s">
        <v>133</v>
      </c>
      <c r="B10" s="69" t="s">
        <v>134</v>
      </c>
      <c r="C10" s="69" t="s">
        <v>135</v>
      </c>
      <c r="D10" s="71" t="s">
        <v>112</v>
      </c>
      <c r="E10" s="71"/>
      <c r="F10" s="73"/>
      <c r="G10" s="72"/>
      <c r="H10" s="72"/>
    </row>
    <row r="11" ht="22.5" customHeight="1">
      <c r="A11" s="64"/>
      <c r="B11" s="69"/>
      <c r="C11" s="69"/>
      <c r="D11" s="69"/>
      <c r="E11" s="73"/>
      <c r="F11" s="73"/>
      <c r="G11" s="72"/>
      <c r="H11" s="72"/>
    </row>
    <row r="12" ht="22.5" customHeight="1">
      <c r="A12" s="50" t="s">
        <v>147</v>
      </c>
      <c r="B12" s="52" t="s">
        <v>150</v>
      </c>
      <c r="C12" s="54"/>
      <c r="D12" s="54"/>
      <c r="E12" s="57"/>
      <c r="F12" s="57"/>
      <c r="G12" s="63"/>
      <c r="H12" s="63"/>
    </row>
    <row r="13" ht="22.5" customHeight="1">
      <c r="A13" s="64" t="s">
        <v>152</v>
      </c>
      <c r="B13" s="69" t="s">
        <v>153</v>
      </c>
      <c r="C13" s="69" t="s">
        <v>93</v>
      </c>
      <c r="D13" s="71" t="s">
        <v>112</v>
      </c>
      <c r="E13" s="71"/>
      <c r="F13" s="73"/>
      <c r="G13" s="72"/>
      <c r="H13" s="72"/>
    </row>
    <row r="14" ht="22.5" customHeight="1">
      <c r="A14" s="64" t="s">
        <v>161</v>
      </c>
      <c r="B14" s="69" t="s">
        <v>153</v>
      </c>
      <c r="C14" s="69" t="s">
        <v>93</v>
      </c>
      <c r="D14" s="71" t="s">
        <v>112</v>
      </c>
      <c r="E14" s="71"/>
      <c r="F14" s="73"/>
      <c r="G14" s="72"/>
      <c r="H14" s="72"/>
    </row>
    <row r="15" ht="22.5" customHeight="1">
      <c r="A15" s="64" t="s">
        <v>169</v>
      </c>
      <c r="B15" s="69" t="s">
        <v>153</v>
      </c>
      <c r="C15" s="69" t="s">
        <v>93</v>
      </c>
      <c r="D15" s="71" t="s">
        <v>112</v>
      </c>
      <c r="E15" s="71"/>
      <c r="F15" s="73"/>
      <c r="G15" s="72"/>
      <c r="H15" s="72"/>
    </row>
    <row r="16" ht="22.5" customHeight="1">
      <c r="A16" s="64" t="s">
        <v>175</v>
      </c>
      <c r="B16" s="69" t="s">
        <v>153</v>
      </c>
      <c r="C16" s="69" t="s">
        <v>93</v>
      </c>
      <c r="D16" s="71" t="s">
        <v>166</v>
      </c>
      <c r="E16" s="71"/>
      <c r="F16" s="73"/>
      <c r="G16" s="72"/>
      <c r="H16" s="72"/>
    </row>
    <row r="17" ht="22.5" customHeight="1">
      <c r="A17" s="64"/>
      <c r="B17" s="96"/>
      <c r="C17" s="96"/>
      <c r="D17" s="96"/>
      <c r="E17" s="73"/>
      <c r="F17" s="73"/>
      <c r="G17" s="72"/>
      <c r="H17" s="72"/>
    </row>
    <row r="18" ht="22.5" customHeight="1">
      <c r="A18" s="98" t="s">
        <v>189</v>
      </c>
      <c r="B18" s="52" t="s">
        <v>191</v>
      </c>
      <c r="C18" s="43"/>
      <c r="D18" s="43"/>
      <c r="E18" s="57"/>
      <c r="F18" s="57"/>
      <c r="G18" s="63"/>
      <c r="H18" s="63"/>
    </row>
    <row r="19" ht="22.5" customHeight="1">
      <c r="A19" s="74" t="s">
        <v>199</v>
      </c>
      <c r="B19" s="69" t="s">
        <v>201</v>
      </c>
      <c r="C19" s="69" t="s">
        <v>75</v>
      </c>
      <c r="D19" s="71" t="s">
        <v>95</v>
      </c>
      <c r="E19" s="71"/>
      <c r="F19" s="73"/>
      <c r="G19" s="72"/>
      <c r="H19" s="72"/>
    </row>
    <row r="20" ht="22.5" customHeight="1">
      <c r="A20" s="74" t="s">
        <v>210</v>
      </c>
      <c r="B20" s="69" t="s">
        <v>211</v>
      </c>
      <c r="C20" s="69" t="s">
        <v>213</v>
      </c>
      <c r="D20" s="71" t="s">
        <v>215</v>
      </c>
      <c r="E20" s="71"/>
      <c r="F20" s="73"/>
      <c r="G20" s="72"/>
      <c r="H20" s="72"/>
    </row>
    <row r="21" ht="22.5" customHeight="1">
      <c r="A21" s="74" t="s">
        <v>218</v>
      </c>
      <c r="B21" s="69" t="s">
        <v>220</v>
      </c>
      <c r="C21" s="69" t="s">
        <v>213</v>
      </c>
      <c r="D21" s="71" t="s">
        <v>215</v>
      </c>
      <c r="E21" s="71"/>
      <c r="F21" s="73"/>
      <c r="G21" s="72"/>
      <c r="H21" s="72"/>
    </row>
    <row r="22" ht="22.5" customHeight="1">
      <c r="A22" s="64"/>
      <c r="B22" s="96"/>
      <c r="C22" s="96"/>
      <c r="D22" s="96"/>
      <c r="E22" s="73"/>
      <c r="F22" s="73"/>
      <c r="G22" s="72"/>
      <c r="H22" s="72"/>
    </row>
    <row r="23" ht="22.5" customHeight="1">
      <c r="A23" s="98" t="s">
        <v>267</v>
      </c>
      <c r="B23" s="52" t="s">
        <v>272</v>
      </c>
      <c r="C23" s="54"/>
      <c r="D23" s="54"/>
      <c r="E23" s="57"/>
      <c r="F23" s="57"/>
      <c r="G23" s="63"/>
      <c r="H23" s="63"/>
    </row>
    <row r="24" ht="22.5" customHeight="1">
      <c r="A24" s="74" t="s">
        <v>304</v>
      </c>
      <c r="B24" s="69" t="s">
        <v>310</v>
      </c>
      <c r="C24" s="69" t="s">
        <v>176</v>
      </c>
      <c r="D24" s="71" t="s">
        <v>95</v>
      </c>
      <c r="E24" s="71"/>
      <c r="F24" s="73"/>
      <c r="G24" s="72"/>
      <c r="H24" s="72"/>
    </row>
    <row r="25" ht="22.5" customHeight="1">
      <c r="A25" s="74" t="s">
        <v>317</v>
      </c>
      <c r="B25" s="69" t="s">
        <v>310</v>
      </c>
      <c r="C25" s="69" t="s">
        <v>176</v>
      </c>
      <c r="D25" s="71" t="s">
        <v>95</v>
      </c>
      <c r="E25" s="71"/>
      <c r="F25" s="73"/>
      <c r="G25" s="72"/>
      <c r="H25" s="72"/>
    </row>
    <row r="26" ht="22.5" customHeight="1">
      <c r="A26" s="74" t="s">
        <v>322</v>
      </c>
      <c r="B26" s="69" t="s">
        <v>220</v>
      </c>
      <c r="C26" s="69" t="s">
        <v>106</v>
      </c>
      <c r="D26" s="71" t="s">
        <v>95</v>
      </c>
      <c r="E26" s="71"/>
      <c r="F26" s="73"/>
      <c r="G26" s="72"/>
      <c r="H26" s="72"/>
    </row>
    <row r="27" ht="22.5" customHeight="1">
      <c r="A27" s="74" t="s">
        <v>327</v>
      </c>
      <c r="B27" s="69" t="s">
        <v>88</v>
      </c>
      <c r="C27" s="69" t="s">
        <v>76</v>
      </c>
      <c r="D27" s="71" t="s">
        <v>95</v>
      </c>
      <c r="E27" s="71"/>
      <c r="F27" s="73"/>
      <c r="G27" s="72"/>
      <c r="H27" s="72"/>
    </row>
    <row r="28" ht="22.5" customHeight="1">
      <c r="A28" s="74" t="s">
        <v>330</v>
      </c>
      <c r="B28" s="69" t="s">
        <v>310</v>
      </c>
      <c r="C28" s="69" t="s">
        <v>93</v>
      </c>
      <c r="D28" s="71" t="s">
        <v>95</v>
      </c>
      <c r="E28" s="71"/>
      <c r="F28" s="73"/>
      <c r="G28" s="72"/>
      <c r="H28" s="72"/>
    </row>
    <row r="29" ht="22.5" customHeight="1">
      <c r="A29" s="64"/>
      <c r="B29" s="96"/>
      <c r="C29" s="96"/>
      <c r="D29" s="96"/>
      <c r="E29" s="73"/>
      <c r="F29" s="73"/>
      <c r="G29" s="72"/>
      <c r="H29" s="72"/>
    </row>
    <row r="30" ht="22.5" customHeight="1">
      <c r="A30" s="98" t="s">
        <v>334</v>
      </c>
      <c r="B30" s="52" t="s">
        <v>336</v>
      </c>
      <c r="C30" s="54"/>
      <c r="D30" s="54"/>
      <c r="E30" s="57"/>
      <c r="F30" s="57"/>
      <c r="G30" s="63"/>
      <c r="H30" s="63"/>
    </row>
    <row r="31" ht="22.5" customHeight="1">
      <c r="A31" s="74" t="s">
        <v>340</v>
      </c>
      <c r="B31" s="69" t="s">
        <v>341</v>
      </c>
      <c r="C31" s="69" t="s">
        <v>106</v>
      </c>
      <c r="D31" s="71" t="s">
        <v>95</v>
      </c>
      <c r="E31" s="71"/>
      <c r="F31" s="73"/>
      <c r="G31" s="72"/>
      <c r="H31" s="72"/>
    </row>
    <row r="32" ht="22.5" customHeight="1">
      <c r="A32" s="74" t="s">
        <v>346</v>
      </c>
      <c r="B32" s="69" t="s">
        <v>341</v>
      </c>
      <c r="C32" s="69" t="s">
        <v>93</v>
      </c>
      <c r="D32" s="71" t="s">
        <v>95</v>
      </c>
      <c r="E32" s="71"/>
      <c r="F32" s="73"/>
      <c r="G32" s="72"/>
      <c r="H32" s="72"/>
    </row>
    <row r="33" ht="22.5" customHeight="1">
      <c r="A33" s="74" t="s">
        <v>352</v>
      </c>
      <c r="B33" s="69" t="s">
        <v>341</v>
      </c>
      <c r="C33" s="69" t="s">
        <v>106</v>
      </c>
      <c r="D33" s="71" t="s">
        <v>95</v>
      </c>
      <c r="E33" s="71"/>
      <c r="F33" s="73"/>
      <c r="G33" s="72"/>
      <c r="H33" s="72"/>
    </row>
    <row r="34" ht="22.5" customHeight="1">
      <c r="A34" s="74" t="s">
        <v>355</v>
      </c>
      <c r="B34" s="69" t="s">
        <v>341</v>
      </c>
      <c r="C34" s="69" t="s">
        <v>13</v>
      </c>
      <c r="D34" s="71" t="s">
        <v>112</v>
      </c>
      <c r="E34" s="71"/>
      <c r="F34" s="73"/>
      <c r="G34" s="72"/>
      <c r="H34" s="72"/>
    </row>
    <row r="35" ht="22.5" customHeight="1">
      <c r="A35" s="74" t="s">
        <v>358</v>
      </c>
      <c r="B35" s="69" t="s">
        <v>359</v>
      </c>
      <c r="C35" s="69" t="s">
        <v>324</v>
      </c>
      <c r="D35" s="71" t="s">
        <v>95</v>
      </c>
      <c r="E35" s="71"/>
      <c r="F35" s="73"/>
      <c r="G35" s="72"/>
      <c r="H35" s="72"/>
    </row>
    <row r="36" ht="22.5" customHeight="1">
      <c r="A36" s="74" t="s">
        <v>363</v>
      </c>
      <c r="B36" s="69" t="s">
        <v>364</v>
      </c>
      <c r="C36" s="69" t="s">
        <v>324</v>
      </c>
      <c r="D36" s="71" t="s">
        <v>95</v>
      </c>
      <c r="E36" s="71"/>
      <c r="F36" s="73"/>
      <c r="G36" s="72"/>
      <c r="H36" s="72"/>
    </row>
    <row r="37" ht="22.5" customHeight="1">
      <c r="A37" s="74" t="s">
        <v>369</v>
      </c>
      <c r="B37" s="69" t="s">
        <v>370</v>
      </c>
      <c r="C37" s="69" t="s">
        <v>76</v>
      </c>
      <c r="D37" s="71" t="s">
        <v>95</v>
      </c>
      <c r="E37" s="71"/>
      <c r="F37" s="73"/>
      <c r="G37" s="72"/>
      <c r="H37" s="72"/>
    </row>
    <row r="38" ht="22.5" customHeight="1">
      <c r="A38" s="74" t="s">
        <v>374</v>
      </c>
      <c r="B38" s="69" t="s">
        <v>370</v>
      </c>
      <c r="C38" s="69" t="s">
        <v>76</v>
      </c>
      <c r="D38" s="71" t="s">
        <v>95</v>
      </c>
      <c r="E38" s="71"/>
      <c r="F38" s="73"/>
      <c r="G38" s="72"/>
      <c r="H38" s="72"/>
    </row>
    <row r="39" ht="22.5" customHeight="1">
      <c r="A39" s="74" t="s">
        <v>378</v>
      </c>
      <c r="B39" s="69" t="s">
        <v>370</v>
      </c>
      <c r="C39" s="69" t="s">
        <v>76</v>
      </c>
      <c r="D39" s="71" t="s">
        <v>95</v>
      </c>
      <c r="E39" s="71"/>
      <c r="F39" s="73"/>
      <c r="G39" s="72"/>
      <c r="H39" s="72"/>
    </row>
    <row r="40" ht="22.5" customHeight="1">
      <c r="A40" s="74" t="s">
        <v>381</v>
      </c>
      <c r="B40" s="69" t="s">
        <v>370</v>
      </c>
      <c r="C40" s="69" t="s">
        <v>76</v>
      </c>
      <c r="D40" s="71" t="s">
        <v>383</v>
      </c>
      <c r="E40" s="71"/>
      <c r="F40" s="73"/>
      <c r="G40" s="72"/>
      <c r="H40" s="72"/>
    </row>
    <row r="41" ht="22.5" customHeight="1">
      <c r="A41" s="74" t="s">
        <v>387</v>
      </c>
      <c r="B41" s="69" t="s">
        <v>370</v>
      </c>
      <c r="C41" s="69" t="s">
        <v>76</v>
      </c>
      <c r="D41" s="71" t="s">
        <v>95</v>
      </c>
      <c r="E41" s="71"/>
      <c r="F41" s="73"/>
      <c r="G41" s="72"/>
      <c r="H41" s="72"/>
    </row>
    <row r="42" ht="22.5" customHeight="1">
      <c r="A42" s="74" t="s">
        <v>389</v>
      </c>
      <c r="B42" s="69" t="s">
        <v>370</v>
      </c>
      <c r="C42" s="69" t="s">
        <v>76</v>
      </c>
      <c r="D42" s="71" t="s">
        <v>86</v>
      </c>
      <c r="E42" s="71"/>
      <c r="F42" s="73"/>
      <c r="G42" s="72"/>
      <c r="H42" s="72"/>
    </row>
    <row r="43" ht="22.5" customHeight="1">
      <c r="A43" s="74" t="s">
        <v>396</v>
      </c>
      <c r="B43" s="69" t="s">
        <v>370</v>
      </c>
      <c r="C43" s="69" t="s">
        <v>76</v>
      </c>
      <c r="D43" s="71" t="s">
        <v>95</v>
      </c>
      <c r="E43" s="71"/>
      <c r="F43" s="73"/>
      <c r="G43" s="72"/>
      <c r="H43" s="72"/>
    </row>
    <row r="44" ht="22.5" customHeight="1">
      <c r="A44" s="74" t="s">
        <v>401</v>
      </c>
      <c r="B44" s="69" t="s">
        <v>370</v>
      </c>
      <c r="C44" s="69" t="s">
        <v>76</v>
      </c>
      <c r="D44" s="71" t="s">
        <v>95</v>
      </c>
      <c r="E44" s="71"/>
      <c r="F44" s="73"/>
      <c r="G44" s="72"/>
      <c r="H44" s="72"/>
    </row>
    <row r="45" ht="22.5" customHeight="1">
      <c r="A45" s="74" t="s">
        <v>404</v>
      </c>
      <c r="B45" s="69" t="s">
        <v>370</v>
      </c>
      <c r="C45" s="69" t="s">
        <v>76</v>
      </c>
      <c r="D45" s="71" t="s">
        <v>84</v>
      </c>
      <c r="E45" s="71"/>
      <c r="F45" s="73"/>
      <c r="G45" s="72"/>
      <c r="H45" s="72"/>
    </row>
    <row r="46" ht="22.5" customHeight="1">
      <c r="A46" s="64"/>
      <c r="B46" s="96"/>
      <c r="C46" s="96"/>
      <c r="D46" s="96"/>
      <c r="E46" s="73"/>
      <c r="F46" s="73"/>
      <c r="G46" s="72"/>
      <c r="H46" s="72"/>
    </row>
    <row r="47" ht="22.5" customHeight="1">
      <c r="A47" s="98" t="s">
        <v>410</v>
      </c>
      <c r="B47" s="52" t="s">
        <v>411</v>
      </c>
      <c r="C47" s="54"/>
      <c r="D47" s="54"/>
      <c r="E47" s="57"/>
      <c r="F47" s="57"/>
      <c r="G47" s="63"/>
      <c r="H47" s="63"/>
    </row>
    <row r="48" ht="22.5" customHeight="1">
      <c r="A48" s="74" t="s">
        <v>415</v>
      </c>
      <c r="B48" s="69" t="s">
        <v>370</v>
      </c>
      <c r="C48" s="69" t="s">
        <v>76</v>
      </c>
      <c r="D48" s="71" t="s">
        <v>95</v>
      </c>
      <c r="E48" s="71"/>
      <c r="F48" s="73"/>
      <c r="G48" s="72"/>
      <c r="H48" s="72"/>
    </row>
    <row r="49" ht="22.5" customHeight="1">
      <c r="A49" s="74" t="s">
        <v>419</v>
      </c>
      <c r="B49" s="69" t="s">
        <v>370</v>
      </c>
      <c r="C49" s="69" t="s">
        <v>76</v>
      </c>
      <c r="D49" s="71" t="s">
        <v>95</v>
      </c>
      <c r="E49" s="71"/>
      <c r="F49" s="73"/>
      <c r="G49" s="72"/>
      <c r="H49" s="72"/>
    </row>
    <row r="50" ht="22.5" customHeight="1">
      <c r="A50" s="74" t="s">
        <v>423</v>
      </c>
      <c r="B50" s="69" t="s">
        <v>370</v>
      </c>
      <c r="C50" s="69" t="s">
        <v>91</v>
      </c>
      <c r="D50" s="71" t="s">
        <v>95</v>
      </c>
      <c r="E50" s="71"/>
      <c r="F50" s="73"/>
      <c r="G50" s="72"/>
      <c r="H50" s="72"/>
    </row>
    <row r="51" ht="22.5" customHeight="1">
      <c r="A51" s="74" t="s">
        <v>426</v>
      </c>
      <c r="B51" s="69" t="s">
        <v>428</v>
      </c>
      <c r="C51" s="69" t="s">
        <v>91</v>
      </c>
      <c r="D51" s="71" t="s">
        <v>95</v>
      </c>
      <c r="E51" s="71"/>
      <c r="F51" s="73"/>
      <c r="G51" s="72"/>
      <c r="H51" s="72"/>
    </row>
    <row r="52" ht="22.5" customHeight="1">
      <c r="A52" s="74" t="s">
        <v>432</v>
      </c>
      <c r="B52" s="69" t="s">
        <v>370</v>
      </c>
      <c r="C52" s="69" t="s">
        <v>91</v>
      </c>
      <c r="D52" s="71" t="s">
        <v>112</v>
      </c>
      <c r="E52" s="71"/>
      <c r="F52" s="73"/>
      <c r="G52" s="72"/>
      <c r="H52" s="72"/>
    </row>
    <row r="53" ht="22.5" customHeight="1">
      <c r="A53" s="74" t="s">
        <v>437</v>
      </c>
      <c r="B53" s="69" t="s">
        <v>370</v>
      </c>
      <c r="C53" s="69" t="s">
        <v>91</v>
      </c>
      <c r="D53" s="71" t="s">
        <v>112</v>
      </c>
      <c r="E53" s="71"/>
      <c r="F53" s="73"/>
      <c r="G53" s="72"/>
      <c r="H53" s="72"/>
    </row>
    <row r="54" ht="22.5" customHeight="1">
      <c r="A54" s="74" t="s">
        <v>439</v>
      </c>
      <c r="B54" s="69" t="s">
        <v>370</v>
      </c>
      <c r="C54" s="69" t="s">
        <v>91</v>
      </c>
      <c r="D54" s="71" t="s">
        <v>112</v>
      </c>
      <c r="E54" s="71"/>
      <c r="F54" s="73"/>
      <c r="G54" s="72"/>
      <c r="H54" s="72"/>
    </row>
    <row r="55" ht="22.5" customHeight="1">
      <c r="A55" s="74" t="s">
        <v>440</v>
      </c>
      <c r="B55" s="69" t="s">
        <v>134</v>
      </c>
      <c r="C55" s="69" t="s">
        <v>78</v>
      </c>
      <c r="D55" s="71" t="s">
        <v>166</v>
      </c>
      <c r="E55" s="71"/>
      <c r="F55" s="73"/>
      <c r="G55" s="72"/>
      <c r="H55" s="72"/>
    </row>
    <row r="56" ht="22.5" customHeight="1">
      <c r="A56" s="64"/>
      <c r="B56" s="69"/>
      <c r="C56" s="69"/>
      <c r="D56" s="69"/>
      <c r="E56" s="69"/>
      <c r="F56" s="73"/>
      <c r="G56" s="72"/>
      <c r="H56" s="72"/>
    </row>
    <row r="57" ht="22.5" customHeight="1">
      <c r="A57" s="98" t="s">
        <v>449</v>
      </c>
      <c r="B57" s="52" t="s">
        <v>451</v>
      </c>
      <c r="C57" s="69"/>
      <c r="D57" s="69"/>
      <c r="E57" s="69"/>
      <c r="F57" s="73"/>
      <c r="G57" s="72"/>
      <c r="H57" s="72"/>
    </row>
    <row r="58" ht="22.5" customHeight="1">
      <c r="A58" s="74" t="s">
        <v>454</v>
      </c>
      <c r="B58" s="69" t="s">
        <v>370</v>
      </c>
      <c r="C58" s="69" t="s">
        <v>76</v>
      </c>
      <c r="D58" s="71" t="s">
        <v>86</v>
      </c>
      <c r="E58" s="71"/>
      <c r="F58" s="73"/>
      <c r="G58" s="72"/>
      <c r="H58" s="72"/>
    </row>
    <row r="59" ht="22.5" customHeight="1">
      <c r="A59" s="74" t="s">
        <v>457</v>
      </c>
      <c r="B59" s="69" t="s">
        <v>370</v>
      </c>
      <c r="C59" s="69" t="s">
        <v>91</v>
      </c>
      <c r="D59" s="71" t="s">
        <v>86</v>
      </c>
      <c r="E59" s="71"/>
      <c r="F59" s="73"/>
      <c r="G59" s="72"/>
      <c r="H59" s="72"/>
    </row>
    <row r="60" ht="22.5" customHeight="1">
      <c r="A60" s="74" t="s">
        <v>460</v>
      </c>
      <c r="B60" s="69" t="s">
        <v>370</v>
      </c>
      <c r="C60" s="69" t="s">
        <v>10</v>
      </c>
      <c r="D60" s="71" t="s">
        <v>86</v>
      </c>
      <c r="E60" s="71"/>
      <c r="F60" s="73"/>
      <c r="G60" s="72"/>
      <c r="H60" s="72"/>
    </row>
    <row r="61" ht="22.5" customHeight="1">
      <c r="A61" s="74" t="s">
        <v>464</v>
      </c>
      <c r="B61" s="69" t="s">
        <v>370</v>
      </c>
      <c r="C61" s="69" t="s">
        <v>11</v>
      </c>
      <c r="D61" s="71" t="s">
        <v>86</v>
      </c>
      <c r="E61" s="71"/>
      <c r="F61" s="73"/>
      <c r="G61" s="72"/>
      <c r="H61" s="72"/>
    </row>
    <row r="62" ht="22.5" customHeight="1">
      <c r="A62" s="74" t="s">
        <v>468</v>
      </c>
      <c r="B62" s="69" t="s">
        <v>370</v>
      </c>
      <c r="C62" s="69" t="s">
        <v>91</v>
      </c>
      <c r="D62" s="71" t="s">
        <v>112</v>
      </c>
      <c r="E62" s="71"/>
      <c r="F62" s="73"/>
      <c r="G62" s="72"/>
      <c r="H62" s="72"/>
    </row>
    <row r="63" ht="22.5" customHeight="1">
      <c r="A63" s="74" t="s">
        <v>470</v>
      </c>
      <c r="B63" s="69" t="s">
        <v>370</v>
      </c>
      <c r="C63" s="69" t="s">
        <v>91</v>
      </c>
      <c r="D63" s="71" t="s">
        <v>112</v>
      </c>
      <c r="E63" s="71"/>
      <c r="F63" s="73"/>
      <c r="G63" s="72"/>
      <c r="H63" s="72"/>
    </row>
    <row r="64" ht="22.5" customHeight="1">
      <c r="A64" s="74" t="s">
        <v>474</v>
      </c>
      <c r="B64" s="69" t="s">
        <v>370</v>
      </c>
      <c r="C64" s="69" t="s">
        <v>176</v>
      </c>
      <c r="D64" s="71" t="s">
        <v>86</v>
      </c>
      <c r="E64" s="71"/>
      <c r="F64" s="73"/>
      <c r="G64" s="72"/>
      <c r="H64" s="72"/>
    </row>
    <row r="65" ht="22.5" customHeight="1">
      <c r="A65" s="64"/>
      <c r="B65" s="69"/>
      <c r="C65" s="69"/>
      <c r="D65" s="69"/>
      <c r="E65" s="69"/>
      <c r="F65" s="73"/>
      <c r="G65" s="72"/>
      <c r="H65" s="72"/>
    </row>
    <row r="66" ht="22.5" customHeight="1">
      <c r="A66" s="98" t="s">
        <v>479</v>
      </c>
      <c r="B66" s="52" t="s">
        <v>480</v>
      </c>
      <c r="C66" s="69"/>
      <c r="D66" s="69"/>
      <c r="E66" s="69"/>
      <c r="F66" s="73"/>
      <c r="G66" s="72"/>
      <c r="H66" s="72"/>
    </row>
    <row r="67" ht="22.5" customHeight="1">
      <c r="A67" s="74" t="s">
        <v>485</v>
      </c>
      <c r="B67" s="69" t="s">
        <v>370</v>
      </c>
      <c r="C67" s="69" t="s">
        <v>76</v>
      </c>
      <c r="D67" s="71" t="s">
        <v>95</v>
      </c>
      <c r="E67" s="71"/>
      <c r="F67" s="73"/>
      <c r="G67" s="72"/>
      <c r="H67" s="72"/>
    </row>
    <row r="68" ht="22.5" customHeight="1">
      <c r="A68" s="74" t="s">
        <v>489</v>
      </c>
      <c r="B68" s="69" t="s">
        <v>370</v>
      </c>
      <c r="C68" s="69" t="s">
        <v>76</v>
      </c>
      <c r="D68" s="71" t="s">
        <v>95</v>
      </c>
      <c r="E68" s="71"/>
      <c r="F68" s="73"/>
      <c r="G68" s="108"/>
      <c r="H68" s="72"/>
    </row>
    <row r="69" ht="22.5" customHeight="1">
      <c r="A69" s="74" t="s">
        <v>492</v>
      </c>
      <c r="B69" s="69" t="s">
        <v>370</v>
      </c>
      <c r="C69" s="69" t="s">
        <v>76</v>
      </c>
      <c r="D69" s="71" t="s">
        <v>95</v>
      </c>
      <c r="E69" s="71"/>
      <c r="F69" s="73"/>
      <c r="G69" s="72"/>
      <c r="H69" s="72"/>
    </row>
    <row r="70" ht="22.5" customHeight="1">
      <c r="A70" s="74" t="s">
        <v>494</v>
      </c>
      <c r="B70" s="69" t="s">
        <v>370</v>
      </c>
      <c r="C70" s="69" t="s">
        <v>91</v>
      </c>
      <c r="D70" s="71" t="s">
        <v>112</v>
      </c>
      <c r="E70" s="71"/>
      <c r="F70" s="73"/>
      <c r="G70" s="72"/>
      <c r="H70" s="72"/>
    </row>
    <row r="71" ht="22.5" customHeight="1">
      <c r="A71" s="74" t="s">
        <v>497</v>
      </c>
      <c r="B71" s="69" t="s">
        <v>370</v>
      </c>
      <c r="C71" s="69" t="s">
        <v>76</v>
      </c>
      <c r="D71" s="71" t="s">
        <v>95</v>
      </c>
      <c r="E71" s="71"/>
      <c r="F71" s="73"/>
      <c r="G71" s="72"/>
      <c r="H71" s="72"/>
    </row>
    <row r="72" ht="22.5" customHeight="1">
      <c r="A72" s="74" t="s">
        <v>499</v>
      </c>
      <c r="B72" s="69" t="s">
        <v>370</v>
      </c>
      <c r="C72" s="69" t="s">
        <v>76</v>
      </c>
      <c r="D72" s="71" t="s">
        <v>95</v>
      </c>
      <c r="E72" s="71"/>
      <c r="F72" s="73"/>
      <c r="G72" s="72"/>
      <c r="H72" s="72"/>
    </row>
    <row r="73" ht="22.5" customHeight="1">
      <c r="A73" s="64"/>
      <c r="B73" s="69"/>
      <c r="C73" s="69"/>
      <c r="D73" s="69"/>
      <c r="E73" s="69"/>
      <c r="F73" s="73"/>
      <c r="G73" s="72"/>
      <c r="H73" s="72"/>
    </row>
    <row r="74" ht="22.5" customHeight="1">
      <c r="A74" s="98" t="s">
        <v>502</v>
      </c>
      <c r="B74" s="52" t="s">
        <v>360</v>
      </c>
      <c r="C74" s="69"/>
      <c r="D74" s="69"/>
      <c r="E74" s="69"/>
      <c r="F74" s="73"/>
      <c r="G74" s="72"/>
      <c r="H74" s="72"/>
    </row>
    <row r="75" ht="22.5" customHeight="1">
      <c r="A75" s="74" t="s">
        <v>505</v>
      </c>
      <c r="B75" s="69" t="s">
        <v>506</v>
      </c>
      <c r="C75" s="69" t="s">
        <v>76</v>
      </c>
      <c r="D75" s="71" t="s">
        <v>215</v>
      </c>
      <c r="E75" s="71"/>
      <c r="F75" s="73"/>
      <c r="G75" s="72"/>
      <c r="H75" s="72"/>
    </row>
    <row r="76" ht="22.5" customHeight="1">
      <c r="A76" s="74" t="s">
        <v>508</v>
      </c>
      <c r="B76" s="69" t="s">
        <v>506</v>
      </c>
      <c r="C76" s="69" t="s">
        <v>76</v>
      </c>
      <c r="D76" s="71" t="s">
        <v>215</v>
      </c>
      <c r="E76" s="71"/>
      <c r="F76" s="73"/>
      <c r="G76" s="72"/>
      <c r="H76" s="72"/>
    </row>
    <row r="77" ht="22.5" customHeight="1">
      <c r="A77" s="74" t="s">
        <v>510</v>
      </c>
      <c r="B77" s="69" t="s">
        <v>511</v>
      </c>
      <c r="C77" s="69" t="s">
        <v>324</v>
      </c>
      <c r="D77" s="71" t="s">
        <v>215</v>
      </c>
      <c r="E77" s="71"/>
      <c r="F77" s="73"/>
      <c r="G77" s="72"/>
      <c r="H77" s="72"/>
    </row>
    <row r="78" ht="22.5" customHeight="1">
      <c r="A78" s="74" t="s">
        <v>513</v>
      </c>
      <c r="B78" s="69" t="s">
        <v>514</v>
      </c>
      <c r="C78" s="69" t="s">
        <v>324</v>
      </c>
      <c r="D78" s="71" t="s">
        <v>215</v>
      </c>
      <c r="E78" s="71"/>
      <c r="F78" s="73"/>
      <c r="G78" s="72"/>
      <c r="H78" s="72"/>
    </row>
    <row r="79" ht="22.5" customHeight="1">
      <c r="A79" s="74" t="s">
        <v>515</v>
      </c>
      <c r="B79" s="69" t="s">
        <v>517</v>
      </c>
      <c r="C79" s="69" t="s">
        <v>76</v>
      </c>
      <c r="D79" s="71" t="s">
        <v>215</v>
      </c>
      <c r="E79" s="71"/>
      <c r="F79" s="73"/>
      <c r="G79" s="72"/>
      <c r="H79" s="72"/>
    </row>
    <row r="80" ht="22.5" customHeight="1">
      <c r="A80" s="74" t="s">
        <v>520</v>
      </c>
      <c r="B80" s="69" t="s">
        <v>521</v>
      </c>
      <c r="C80" s="69" t="s">
        <v>176</v>
      </c>
      <c r="D80" s="71" t="s">
        <v>215</v>
      </c>
      <c r="E80" s="71"/>
      <c r="F80" s="73"/>
      <c r="G80" s="72"/>
      <c r="H80" s="72"/>
    </row>
    <row r="81" ht="22.5" customHeight="1">
      <c r="A81" s="74" t="s">
        <v>523</v>
      </c>
      <c r="B81" s="69" t="s">
        <v>524</v>
      </c>
      <c r="C81" s="69" t="s">
        <v>91</v>
      </c>
      <c r="D81" s="71" t="s">
        <v>215</v>
      </c>
      <c r="E81" s="71"/>
      <c r="F81" s="73"/>
      <c r="G81" s="72"/>
      <c r="H81" s="72"/>
    </row>
    <row r="82" ht="22.5" customHeight="1">
      <c r="A82" s="74" t="s">
        <v>526</v>
      </c>
      <c r="B82" s="69" t="s">
        <v>527</v>
      </c>
      <c r="C82" s="69" t="s">
        <v>176</v>
      </c>
      <c r="D82" s="71" t="s">
        <v>215</v>
      </c>
      <c r="E82" s="71"/>
      <c r="F82" s="73"/>
      <c r="G82" s="72"/>
      <c r="H82" s="72"/>
    </row>
    <row r="83" ht="22.5" customHeight="1">
      <c r="A83" s="64"/>
      <c r="B83" s="69"/>
      <c r="C83" s="69"/>
      <c r="D83" s="69"/>
      <c r="E83" s="69"/>
      <c r="F83" s="73"/>
      <c r="G83" s="72"/>
      <c r="H83" s="72"/>
    </row>
    <row r="84" ht="22.5" customHeight="1">
      <c r="A84" s="98" t="s">
        <v>528</v>
      </c>
      <c r="B84" s="52" t="s">
        <v>529</v>
      </c>
      <c r="C84" s="69"/>
      <c r="D84" s="69"/>
      <c r="E84" s="69"/>
      <c r="F84" s="73"/>
      <c r="G84" s="72"/>
      <c r="H84" s="72"/>
    </row>
    <row r="85" ht="22.5" customHeight="1">
      <c r="A85" s="74" t="s">
        <v>530</v>
      </c>
      <c r="B85" s="69" t="s">
        <v>531</v>
      </c>
      <c r="C85" s="69" t="s">
        <v>176</v>
      </c>
      <c r="D85" s="71" t="s">
        <v>215</v>
      </c>
      <c r="E85" s="71"/>
      <c r="F85" s="73"/>
      <c r="G85" s="72"/>
      <c r="H85" s="72"/>
    </row>
    <row r="86" ht="22.5" customHeight="1">
      <c r="A86" s="74" t="s">
        <v>532</v>
      </c>
      <c r="B86" s="69" t="s">
        <v>533</v>
      </c>
      <c r="C86" s="69" t="s">
        <v>176</v>
      </c>
      <c r="D86" s="71" t="s">
        <v>215</v>
      </c>
      <c r="E86" s="71"/>
      <c r="F86" s="73"/>
      <c r="G86" s="72"/>
      <c r="H86" s="72"/>
    </row>
    <row r="87" ht="22.5" customHeight="1">
      <c r="A87" s="74" t="s">
        <v>534</v>
      </c>
      <c r="B87" s="69" t="s">
        <v>535</v>
      </c>
      <c r="C87" s="69" t="s">
        <v>176</v>
      </c>
      <c r="D87" s="71" t="s">
        <v>215</v>
      </c>
      <c r="E87" s="71"/>
      <c r="F87" s="73"/>
      <c r="G87" s="72"/>
      <c r="H87" s="72"/>
    </row>
    <row r="88" ht="22.5" customHeight="1">
      <c r="A88" s="74" t="s">
        <v>536</v>
      </c>
      <c r="B88" s="69" t="s">
        <v>537</v>
      </c>
      <c r="C88" s="69" t="s">
        <v>76</v>
      </c>
      <c r="D88" s="71" t="s">
        <v>215</v>
      </c>
      <c r="E88" s="71"/>
      <c r="F88" s="73"/>
      <c r="G88" s="72"/>
      <c r="H88" s="72"/>
    </row>
    <row r="89" ht="22.5" customHeight="1">
      <c r="A89" s="74" t="s">
        <v>538</v>
      </c>
      <c r="B89" s="69" t="s">
        <v>539</v>
      </c>
      <c r="C89" s="69" t="s">
        <v>76</v>
      </c>
      <c r="D89" s="71" t="s">
        <v>215</v>
      </c>
      <c r="E89" s="71"/>
      <c r="F89" s="73"/>
      <c r="G89" s="72"/>
      <c r="H89" s="72"/>
    </row>
    <row r="90" ht="22.5" customHeight="1">
      <c r="A90" s="74" t="s">
        <v>540</v>
      </c>
      <c r="B90" s="69" t="s">
        <v>398</v>
      </c>
      <c r="C90" s="69" t="s">
        <v>176</v>
      </c>
      <c r="D90" s="71" t="s">
        <v>215</v>
      </c>
      <c r="E90" s="71"/>
      <c r="F90" s="73"/>
      <c r="G90" s="72"/>
      <c r="H90" s="72"/>
    </row>
    <row r="91" ht="22.5" customHeight="1">
      <c r="A91" s="64"/>
      <c r="B91" s="96"/>
      <c r="C91" s="96"/>
      <c r="D91" s="96"/>
      <c r="E91" s="69"/>
      <c r="F91" s="73"/>
      <c r="G91" s="72"/>
      <c r="H91" s="72"/>
    </row>
    <row r="92" ht="22.5" customHeight="1">
      <c r="A92" s="98" t="s">
        <v>541</v>
      </c>
      <c r="B92" s="52" t="s">
        <v>542</v>
      </c>
      <c r="C92" s="69"/>
      <c r="D92" s="69"/>
      <c r="E92" s="69"/>
      <c r="F92" s="73"/>
      <c r="G92" s="72"/>
      <c r="H92" s="72"/>
    </row>
    <row r="93" ht="22.5" customHeight="1">
      <c r="A93" s="74" t="s">
        <v>543</v>
      </c>
      <c r="B93" s="109" t="s">
        <v>544</v>
      </c>
      <c r="C93" s="69" t="s">
        <v>11</v>
      </c>
      <c r="D93" s="71" t="s">
        <v>112</v>
      </c>
      <c r="E93" s="71"/>
      <c r="F93" s="73"/>
      <c r="G93" s="72"/>
      <c r="H93" s="72"/>
    </row>
    <row r="94" ht="22.5" customHeight="1">
      <c r="A94" s="74" t="s">
        <v>545</v>
      </c>
      <c r="B94" s="109" t="s">
        <v>546</v>
      </c>
      <c r="C94" s="69" t="s">
        <v>324</v>
      </c>
      <c r="D94" s="71" t="s">
        <v>112</v>
      </c>
      <c r="E94" s="71"/>
      <c r="F94" s="73"/>
      <c r="G94" s="72"/>
      <c r="H94" s="72"/>
    </row>
    <row r="95" ht="22.5" customHeight="1">
      <c r="A95" s="74" t="s">
        <v>547</v>
      </c>
      <c r="B95" s="109" t="s">
        <v>548</v>
      </c>
      <c r="C95" s="69" t="s">
        <v>176</v>
      </c>
      <c r="D95" s="71" t="s">
        <v>112</v>
      </c>
      <c r="E95" s="71"/>
      <c r="F95" s="73"/>
      <c r="G95" s="72"/>
      <c r="H95" s="72"/>
    </row>
    <row r="96" ht="22.5" customHeight="1">
      <c r="A96" s="64"/>
      <c r="B96" s="69"/>
      <c r="C96" s="69"/>
      <c r="D96" s="69"/>
      <c r="E96" s="69"/>
      <c r="F96" s="73"/>
      <c r="G96" s="72"/>
      <c r="H96" s="72"/>
    </row>
    <row r="97" ht="22.5" customHeight="1">
      <c r="A97" s="98" t="s">
        <v>549</v>
      </c>
      <c r="B97" s="52" t="s">
        <v>550</v>
      </c>
      <c r="C97" s="69"/>
      <c r="D97" s="69"/>
      <c r="E97" s="69"/>
      <c r="F97" s="73"/>
      <c r="G97" s="72"/>
      <c r="H97" s="72"/>
    </row>
    <row r="98" ht="22.5" customHeight="1">
      <c r="A98" s="74" t="s">
        <v>551</v>
      </c>
      <c r="B98" s="69" t="s">
        <v>552</v>
      </c>
      <c r="C98" s="69" t="s">
        <v>176</v>
      </c>
      <c r="D98" s="71" t="s">
        <v>166</v>
      </c>
      <c r="E98" s="71"/>
      <c r="F98" s="73"/>
      <c r="G98" s="72"/>
      <c r="H98" s="72"/>
    </row>
    <row r="99" ht="22.5" customHeight="1">
      <c r="A99" s="74" t="s">
        <v>553</v>
      </c>
      <c r="B99" s="69" t="s">
        <v>554</v>
      </c>
      <c r="C99" s="69" t="s">
        <v>198</v>
      </c>
      <c r="D99" s="71" t="s">
        <v>166</v>
      </c>
      <c r="E99" s="71"/>
      <c r="F99" s="73"/>
      <c r="G99" s="72"/>
      <c r="H99" s="72"/>
    </row>
    <row r="100" ht="22.5" customHeight="1">
      <c r="A100" s="74" t="s">
        <v>555</v>
      </c>
      <c r="B100" s="69" t="s">
        <v>310</v>
      </c>
      <c r="C100" s="69" t="s">
        <v>198</v>
      </c>
      <c r="D100" s="71" t="s">
        <v>166</v>
      </c>
      <c r="E100" s="71"/>
      <c r="F100" s="73"/>
      <c r="G100" s="72"/>
      <c r="H100" s="72"/>
    </row>
    <row r="101" ht="22.5" customHeight="1">
      <c r="A101" s="74" t="s">
        <v>556</v>
      </c>
      <c r="B101" s="69" t="s">
        <v>310</v>
      </c>
      <c r="C101" s="69" t="s">
        <v>102</v>
      </c>
      <c r="D101" s="71" t="s">
        <v>166</v>
      </c>
      <c r="E101" s="71"/>
      <c r="F101" s="73"/>
      <c r="G101" s="72"/>
      <c r="H101" s="72"/>
    </row>
    <row r="102" ht="22.5" customHeight="1">
      <c r="A102" s="74" t="s">
        <v>557</v>
      </c>
      <c r="B102" s="69" t="s">
        <v>558</v>
      </c>
      <c r="C102" s="69" t="s">
        <v>102</v>
      </c>
      <c r="D102" s="71" t="s">
        <v>112</v>
      </c>
      <c r="E102" s="71"/>
      <c r="F102" s="73"/>
      <c r="G102" s="72"/>
      <c r="H102" s="72"/>
    </row>
    <row r="103" ht="22.5" customHeight="1">
      <c r="A103" s="74" t="s">
        <v>559</v>
      </c>
      <c r="B103" s="69" t="s">
        <v>560</v>
      </c>
      <c r="C103" s="69" t="s">
        <v>13</v>
      </c>
      <c r="D103" s="71" t="s">
        <v>166</v>
      </c>
      <c r="E103" s="71"/>
      <c r="F103" s="73"/>
      <c r="G103" s="72"/>
      <c r="H103" s="72"/>
    </row>
    <row r="104" ht="22.5" customHeight="1">
      <c r="A104" s="74" t="s">
        <v>561</v>
      </c>
      <c r="B104" s="69" t="s">
        <v>428</v>
      </c>
      <c r="C104" s="69" t="s">
        <v>450</v>
      </c>
      <c r="D104" s="71" t="s">
        <v>166</v>
      </c>
      <c r="E104" s="71"/>
      <c r="F104" s="73"/>
      <c r="G104" s="72"/>
      <c r="H104" s="72"/>
    </row>
    <row r="105" ht="22.5" customHeight="1">
      <c r="A105" s="64"/>
      <c r="B105" s="69"/>
      <c r="C105" s="69"/>
      <c r="D105" s="69"/>
      <c r="E105" s="69"/>
      <c r="F105" s="73"/>
      <c r="G105" s="72"/>
      <c r="H105" s="72"/>
    </row>
    <row r="106" ht="22.5" customHeight="1">
      <c r="A106" s="98" t="s">
        <v>562</v>
      </c>
      <c r="B106" s="52" t="s">
        <v>563</v>
      </c>
      <c r="C106" s="69"/>
      <c r="D106" s="69"/>
      <c r="E106" s="69"/>
      <c r="F106" s="73"/>
      <c r="G106" s="72"/>
      <c r="H106" s="72"/>
    </row>
    <row r="107" ht="22.5" customHeight="1">
      <c r="A107" s="74" t="s">
        <v>564</v>
      </c>
      <c r="B107" s="69" t="s">
        <v>310</v>
      </c>
      <c r="C107" s="69" t="s">
        <v>93</v>
      </c>
      <c r="D107" s="71" t="s">
        <v>112</v>
      </c>
      <c r="E107" s="71"/>
      <c r="F107" s="73"/>
      <c r="G107" s="72"/>
      <c r="H107" s="72"/>
    </row>
    <row r="108" ht="22.5" customHeight="1">
      <c r="A108" s="74" t="s">
        <v>565</v>
      </c>
      <c r="B108" s="69" t="s">
        <v>560</v>
      </c>
      <c r="C108" s="69" t="s">
        <v>190</v>
      </c>
      <c r="D108" s="71" t="s">
        <v>112</v>
      </c>
      <c r="E108" s="71"/>
      <c r="F108" s="73"/>
      <c r="G108" s="72"/>
      <c r="H108" s="72"/>
    </row>
    <row r="109" ht="22.5" customHeight="1">
      <c r="A109" s="74" t="s">
        <v>566</v>
      </c>
      <c r="B109" s="69"/>
      <c r="C109" s="69" t="s">
        <v>76</v>
      </c>
      <c r="D109" s="71" t="s">
        <v>112</v>
      </c>
      <c r="E109" s="71"/>
      <c r="F109" s="73"/>
      <c r="G109" s="72"/>
      <c r="H109" s="72"/>
    </row>
    <row r="110" ht="22.5" customHeight="1">
      <c r="A110" s="74" t="s">
        <v>567</v>
      </c>
      <c r="B110" s="69" t="s">
        <v>310</v>
      </c>
      <c r="C110" s="69" t="s">
        <v>93</v>
      </c>
      <c r="D110" s="71" t="s">
        <v>112</v>
      </c>
      <c r="E110" s="71"/>
      <c r="F110" s="73"/>
      <c r="G110" s="72"/>
      <c r="H110" s="72"/>
    </row>
    <row r="111" ht="22.5" customHeight="1">
      <c r="A111" s="74" t="s">
        <v>568</v>
      </c>
      <c r="B111" s="69" t="s">
        <v>310</v>
      </c>
      <c r="C111" s="69" t="s">
        <v>93</v>
      </c>
      <c r="D111" s="71" t="s">
        <v>112</v>
      </c>
      <c r="E111" s="71"/>
      <c r="F111" s="73"/>
      <c r="G111" s="72"/>
      <c r="H111" s="72"/>
    </row>
    <row r="112" ht="22.5" customHeight="1">
      <c r="A112" s="74" t="s">
        <v>569</v>
      </c>
      <c r="B112" s="69" t="s">
        <v>310</v>
      </c>
      <c r="C112" s="69" t="s">
        <v>93</v>
      </c>
      <c r="D112" s="71" t="s">
        <v>112</v>
      </c>
      <c r="E112" s="71"/>
      <c r="F112" s="73"/>
      <c r="G112" s="72"/>
      <c r="H112" s="72"/>
    </row>
    <row r="113" ht="22.5" customHeight="1">
      <c r="A113" s="74" t="s">
        <v>570</v>
      </c>
      <c r="B113" s="69" t="s">
        <v>310</v>
      </c>
      <c r="C113" s="69" t="s">
        <v>93</v>
      </c>
      <c r="D113" s="71" t="s">
        <v>112</v>
      </c>
      <c r="E113" s="71"/>
      <c r="F113" s="73"/>
      <c r="G113" s="72"/>
      <c r="H113" s="72"/>
    </row>
    <row r="114" ht="22.5" customHeight="1">
      <c r="A114" s="74" t="s">
        <v>571</v>
      </c>
      <c r="B114" s="69" t="s">
        <v>310</v>
      </c>
      <c r="C114" s="69" t="s">
        <v>93</v>
      </c>
      <c r="D114" s="71" t="s">
        <v>112</v>
      </c>
      <c r="E114" s="71"/>
      <c r="F114" s="73"/>
      <c r="G114" s="72"/>
      <c r="H114" s="72"/>
    </row>
    <row r="115" ht="22.5" customHeight="1">
      <c r="A115" s="74" t="s">
        <v>572</v>
      </c>
      <c r="B115" s="69" t="s">
        <v>310</v>
      </c>
      <c r="C115" s="69" t="s">
        <v>93</v>
      </c>
      <c r="D115" s="71" t="s">
        <v>112</v>
      </c>
      <c r="E115" s="71"/>
      <c r="F115" s="73"/>
      <c r="G115" s="72"/>
      <c r="H115" s="72"/>
    </row>
    <row r="116" ht="22.5" customHeight="1">
      <c r="A116" s="74" t="s">
        <v>573</v>
      </c>
      <c r="B116" s="69" t="s">
        <v>310</v>
      </c>
      <c r="C116" s="69" t="s">
        <v>93</v>
      </c>
      <c r="D116" s="71" t="s">
        <v>112</v>
      </c>
      <c r="E116" s="71"/>
      <c r="F116" s="73"/>
      <c r="G116" s="72"/>
      <c r="H116" s="72"/>
    </row>
    <row r="117" ht="22.5" customHeight="1">
      <c r="A117" s="74" t="s">
        <v>574</v>
      </c>
      <c r="B117" s="69" t="s">
        <v>310</v>
      </c>
      <c r="C117" s="69" t="s">
        <v>160</v>
      </c>
      <c r="D117" s="71" t="s">
        <v>112</v>
      </c>
      <c r="E117" s="71"/>
      <c r="F117" s="73"/>
      <c r="G117" s="72"/>
      <c r="H117" s="72"/>
    </row>
    <row r="118" ht="22.5" customHeight="1">
      <c r="A118" s="74" t="s">
        <v>575</v>
      </c>
      <c r="B118" s="69" t="s">
        <v>310</v>
      </c>
      <c r="C118" s="69" t="s">
        <v>160</v>
      </c>
      <c r="D118" s="71" t="s">
        <v>166</v>
      </c>
      <c r="E118" s="71"/>
      <c r="F118" s="73"/>
      <c r="G118" s="72"/>
      <c r="H118" s="72"/>
    </row>
    <row r="119" ht="22.5" customHeight="1">
      <c r="A119" s="74" t="s">
        <v>576</v>
      </c>
      <c r="B119" s="69" t="s">
        <v>310</v>
      </c>
      <c r="C119" s="69" t="s">
        <v>91</v>
      </c>
      <c r="D119" s="71" t="s">
        <v>166</v>
      </c>
      <c r="E119" s="71"/>
      <c r="F119" s="73"/>
      <c r="G119" s="72"/>
      <c r="H119" s="72"/>
    </row>
    <row r="120" ht="22.5" customHeight="1">
      <c r="A120" s="74" t="s">
        <v>577</v>
      </c>
      <c r="B120" s="69" t="s">
        <v>578</v>
      </c>
      <c r="C120" s="69" t="s">
        <v>13</v>
      </c>
      <c r="D120" s="71" t="s">
        <v>112</v>
      </c>
      <c r="E120" s="71"/>
      <c r="F120" s="73"/>
      <c r="G120" s="72"/>
      <c r="H120" s="72"/>
    </row>
    <row r="121" ht="22.5" customHeight="1">
      <c r="A121" s="74"/>
      <c r="B121" s="69"/>
      <c r="C121" s="69"/>
      <c r="D121" s="69"/>
      <c r="E121" s="69"/>
      <c r="F121" s="73"/>
      <c r="G121" s="72"/>
      <c r="H121" s="72"/>
    </row>
    <row r="122" ht="22.5" customHeight="1">
      <c r="A122" s="98" t="s">
        <v>579</v>
      </c>
      <c r="B122" s="52" t="s">
        <v>580</v>
      </c>
      <c r="C122" s="69"/>
      <c r="D122" s="69"/>
      <c r="E122" s="69"/>
      <c r="F122" s="73"/>
      <c r="G122" s="72"/>
      <c r="H122" s="72"/>
    </row>
    <row r="123" ht="22.5" customHeight="1">
      <c r="A123" s="74" t="s">
        <v>581</v>
      </c>
      <c r="B123" s="69" t="s">
        <v>582</v>
      </c>
      <c r="C123" s="69" t="s">
        <v>93</v>
      </c>
      <c r="D123" s="71" t="s">
        <v>112</v>
      </c>
      <c r="E123" s="71"/>
      <c r="F123" s="73"/>
      <c r="G123" s="72"/>
      <c r="H123" s="72"/>
    </row>
    <row r="124" ht="22.5" customHeight="1">
      <c r="A124" s="74" t="s">
        <v>583</v>
      </c>
      <c r="B124" s="69" t="s">
        <v>582</v>
      </c>
      <c r="C124" s="69" t="s">
        <v>93</v>
      </c>
      <c r="D124" s="71" t="s">
        <v>112</v>
      </c>
      <c r="E124" s="71"/>
      <c r="F124" s="73"/>
      <c r="G124" s="72"/>
      <c r="H124" s="72"/>
    </row>
    <row r="125" ht="22.5" customHeight="1">
      <c r="A125" s="74" t="s">
        <v>584</v>
      </c>
      <c r="B125" s="69" t="s">
        <v>582</v>
      </c>
      <c r="C125" s="69" t="s">
        <v>93</v>
      </c>
      <c r="D125" s="71" t="s">
        <v>112</v>
      </c>
      <c r="E125" s="71"/>
      <c r="F125" s="73"/>
      <c r="G125" s="72"/>
      <c r="H125" s="72"/>
    </row>
    <row r="126" ht="22.5" customHeight="1">
      <c r="A126" s="74" t="s">
        <v>585</v>
      </c>
      <c r="B126" s="69" t="s">
        <v>582</v>
      </c>
      <c r="C126" s="69" t="s">
        <v>93</v>
      </c>
      <c r="D126" s="71" t="s">
        <v>112</v>
      </c>
      <c r="E126" s="71"/>
      <c r="F126" s="73"/>
      <c r="G126" s="72"/>
      <c r="H126" s="72"/>
    </row>
    <row r="127" ht="22.5" customHeight="1">
      <c r="A127" s="64"/>
      <c r="B127" s="96"/>
      <c r="C127" s="96"/>
      <c r="D127" s="96"/>
      <c r="E127" s="69"/>
      <c r="F127" s="73"/>
      <c r="G127" s="72"/>
      <c r="H127" s="72"/>
    </row>
    <row r="128" ht="22.5" customHeight="1">
      <c r="A128" s="98" t="s">
        <v>586</v>
      </c>
      <c r="B128" s="52" t="s">
        <v>587</v>
      </c>
      <c r="C128" s="96"/>
      <c r="D128" s="96"/>
      <c r="E128" s="69"/>
      <c r="F128" s="73"/>
      <c r="G128" s="72"/>
      <c r="H128" s="72"/>
    </row>
    <row r="129" ht="22.5" customHeight="1">
      <c r="A129" s="74" t="s">
        <v>588</v>
      </c>
      <c r="B129" s="69" t="s">
        <v>343</v>
      </c>
      <c r="C129" s="69" t="s">
        <v>93</v>
      </c>
      <c r="D129" s="71" t="s">
        <v>112</v>
      </c>
      <c r="E129" s="71"/>
      <c r="F129" s="73"/>
      <c r="G129" s="72"/>
      <c r="H129" s="72"/>
    </row>
    <row r="130" ht="22.5" customHeight="1">
      <c r="A130" s="74" t="s">
        <v>589</v>
      </c>
      <c r="B130" s="69" t="s">
        <v>331</v>
      </c>
      <c r="C130" s="69" t="s">
        <v>91</v>
      </c>
      <c r="D130" s="71" t="s">
        <v>112</v>
      </c>
      <c r="E130" s="71"/>
      <c r="F130" s="73"/>
      <c r="G130" s="72"/>
      <c r="H130" s="72"/>
    </row>
    <row r="131" ht="22.5" customHeight="1">
      <c r="A131" s="74" t="s">
        <v>590</v>
      </c>
      <c r="B131" s="109" t="s">
        <v>183</v>
      </c>
      <c r="C131" s="69" t="s">
        <v>13</v>
      </c>
      <c r="D131" s="71" t="s">
        <v>112</v>
      </c>
      <c r="E131" s="71"/>
      <c r="F131" s="73"/>
      <c r="G131" s="72"/>
      <c r="H131" s="72"/>
    </row>
    <row r="132" ht="22.5" customHeight="1">
      <c r="A132" s="74" t="s">
        <v>591</v>
      </c>
      <c r="B132" s="69" t="s">
        <v>448</v>
      </c>
      <c r="C132" s="69" t="s">
        <v>592</v>
      </c>
      <c r="D132" s="71" t="s">
        <v>95</v>
      </c>
      <c r="E132" s="71"/>
      <c r="F132" s="73"/>
      <c r="G132" s="72"/>
      <c r="H132" s="72"/>
    </row>
    <row r="133" ht="22.5" customHeight="1">
      <c r="A133" s="64"/>
      <c r="B133" s="96"/>
      <c r="C133" s="96"/>
      <c r="D133" s="96"/>
      <c r="E133" s="69"/>
      <c r="F133" s="73"/>
      <c r="G133" s="72"/>
      <c r="H133" s="72"/>
    </row>
    <row r="134" ht="22.5" customHeight="1">
      <c r="A134" s="98" t="s">
        <v>593</v>
      </c>
      <c r="B134" s="52" t="s">
        <v>594</v>
      </c>
      <c r="C134" s="96"/>
      <c r="D134" s="96"/>
      <c r="E134" s="69"/>
      <c r="F134" s="73"/>
      <c r="G134" s="72"/>
      <c r="H134" s="72"/>
    </row>
    <row r="135" ht="22.5" customHeight="1">
      <c r="A135" s="74" t="s">
        <v>595</v>
      </c>
      <c r="B135" s="69" t="s">
        <v>596</v>
      </c>
      <c r="C135" s="69" t="s">
        <v>93</v>
      </c>
      <c r="D135" s="71" t="s">
        <v>383</v>
      </c>
      <c r="E135" s="71"/>
      <c r="F135" s="73"/>
      <c r="G135" s="72"/>
      <c r="H135" s="72"/>
    </row>
    <row r="136" ht="22.5" customHeight="1">
      <c r="A136" s="74" t="s">
        <v>597</v>
      </c>
      <c r="B136" s="69" t="s">
        <v>596</v>
      </c>
      <c r="C136" s="69" t="s">
        <v>91</v>
      </c>
      <c r="D136" s="71" t="s">
        <v>383</v>
      </c>
      <c r="E136" s="71"/>
      <c r="F136" s="73"/>
      <c r="G136" s="72"/>
      <c r="H136" s="72"/>
    </row>
    <row r="137" ht="22.5" customHeight="1">
      <c r="A137" s="74" t="s">
        <v>598</v>
      </c>
      <c r="B137" s="69" t="s">
        <v>488</v>
      </c>
      <c r="C137" s="69" t="s">
        <v>13</v>
      </c>
      <c r="D137" s="71" t="s">
        <v>112</v>
      </c>
      <c r="E137" s="71"/>
      <c r="F137" s="73"/>
      <c r="G137" s="72"/>
      <c r="H137" s="72"/>
    </row>
    <row r="138" ht="22.5" customHeight="1">
      <c r="A138" s="74" t="s">
        <v>599</v>
      </c>
      <c r="B138" s="69" t="s">
        <v>600</v>
      </c>
      <c r="C138" s="69" t="s">
        <v>13</v>
      </c>
      <c r="D138" s="71" t="s">
        <v>112</v>
      </c>
      <c r="E138" s="71"/>
      <c r="F138" s="73"/>
      <c r="G138" s="72"/>
      <c r="H138" s="72"/>
    </row>
    <row r="139" ht="22.5" customHeight="1">
      <c r="A139" s="74" t="s">
        <v>601</v>
      </c>
      <c r="B139" s="69" t="s">
        <v>488</v>
      </c>
      <c r="C139" s="69" t="s">
        <v>13</v>
      </c>
      <c r="D139" s="71" t="s">
        <v>112</v>
      </c>
      <c r="E139" s="71"/>
      <c r="F139" s="73"/>
      <c r="G139" s="72"/>
      <c r="H139" s="72"/>
    </row>
    <row r="140" ht="22.5" customHeight="1">
      <c r="A140" s="64"/>
      <c r="B140" s="69"/>
      <c r="C140" s="69"/>
      <c r="D140" s="69"/>
      <c r="E140" s="69"/>
      <c r="F140" s="73"/>
      <c r="G140" s="72"/>
      <c r="H140" s="72"/>
    </row>
    <row r="141" ht="22.5" customHeight="1">
      <c r="A141" s="98" t="s">
        <v>602</v>
      </c>
      <c r="B141" s="52" t="s">
        <v>603</v>
      </c>
      <c r="C141" s="69"/>
      <c r="D141" s="69"/>
      <c r="E141" s="69"/>
      <c r="F141" s="73"/>
      <c r="G141" s="72"/>
      <c r="H141" s="72"/>
    </row>
    <row r="142" ht="22.5" customHeight="1">
      <c r="A142" s="74" t="s">
        <v>604</v>
      </c>
      <c r="B142" s="69" t="s">
        <v>605</v>
      </c>
      <c r="C142" s="69" t="s">
        <v>93</v>
      </c>
      <c r="D142" s="71" t="s">
        <v>112</v>
      </c>
      <c r="E142" s="71"/>
      <c r="F142" s="73"/>
      <c r="G142" s="72"/>
      <c r="H142" s="72"/>
    </row>
    <row r="143" ht="22.5" customHeight="1">
      <c r="A143" s="74" t="s">
        <v>606</v>
      </c>
      <c r="B143" s="69" t="s">
        <v>605</v>
      </c>
      <c r="C143" s="69" t="s">
        <v>93</v>
      </c>
      <c r="D143" s="71" t="s">
        <v>112</v>
      </c>
      <c r="E143" s="71"/>
      <c r="F143" s="73"/>
      <c r="G143" s="72"/>
      <c r="H143" s="72"/>
    </row>
    <row r="144" ht="22.5" customHeight="1">
      <c r="A144" s="74" t="s">
        <v>607</v>
      </c>
      <c r="B144" s="69" t="s">
        <v>605</v>
      </c>
      <c r="C144" s="69" t="s">
        <v>93</v>
      </c>
      <c r="D144" s="71" t="s">
        <v>166</v>
      </c>
      <c r="E144" s="71"/>
      <c r="F144" s="73"/>
      <c r="G144" s="72"/>
      <c r="H144" s="72"/>
    </row>
    <row r="145" ht="22.5" customHeight="1">
      <c r="A145" s="74" t="s">
        <v>608</v>
      </c>
      <c r="B145" s="69" t="s">
        <v>331</v>
      </c>
      <c r="C145" s="69" t="s">
        <v>102</v>
      </c>
      <c r="D145" s="71" t="s">
        <v>166</v>
      </c>
      <c r="E145" s="71"/>
      <c r="F145" s="73"/>
      <c r="G145" s="72"/>
      <c r="H145" s="72"/>
    </row>
    <row r="146" ht="22.5" customHeight="1">
      <c r="A146" s="74" t="s">
        <v>609</v>
      </c>
      <c r="B146" s="69" t="s">
        <v>259</v>
      </c>
      <c r="C146" s="69" t="s">
        <v>102</v>
      </c>
      <c r="D146" s="71" t="s">
        <v>166</v>
      </c>
      <c r="E146" s="71"/>
      <c r="F146" s="73"/>
      <c r="G146" s="72"/>
      <c r="H146" s="72"/>
    </row>
    <row r="147" ht="22.5" customHeight="1">
      <c r="A147" s="74" t="s">
        <v>610</v>
      </c>
      <c r="B147" s="69" t="s">
        <v>431</v>
      </c>
      <c r="C147" s="69" t="s">
        <v>13</v>
      </c>
      <c r="D147" s="71" t="s">
        <v>112</v>
      </c>
      <c r="E147" s="71"/>
      <c r="F147" s="73"/>
      <c r="G147" s="72"/>
      <c r="H147" s="72"/>
    </row>
    <row r="148" ht="22.5" customHeight="1">
      <c r="A148" s="74" t="s">
        <v>611</v>
      </c>
      <c r="B148" s="69" t="s">
        <v>331</v>
      </c>
      <c r="C148" s="69" t="s">
        <v>13</v>
      </c>
      <c r="D148" s="71" t="s">
        <v>112</v>
      </c>
      <c r="E148" s="71"/>
      <c r="F148" s="73"/>
      <c r="G148" s="72"/>
      <c r="H148" s="72"/>
    </row>
    <row r="149" ht="22.5" customHeight="1">
      <c r="A149" s="110" t="s">
        <v>612</v>
      </c>
      <c r="B149" s="69"/>
      <c r="C149" s="69" t="s">
        <v>613</v>
      </c>
      <c r="D149" s="71" t="s">
        <v>84</v>
      </c>
      <c r="E149" s="71"/>
      <c r="F149" s="73"/>
      <c r="G149" s="111"/>
      <c r="H149" s="111"/>
    </row>
    <row r="150" ht="22.5" customHeight="1">
      <c r="A150" s="110" t="s">
        <v>614</v>
      </c>
      <c r="B150" s="69" t="s">
        <v>431</v>
      </c>
      <c r="C150" s="69" t="s">
        <v>615</v>
      </c>
      <c r="D150" s="71" t="s">
        <v>84</v>
      </c>
      <c r="E150" s="71"/>
      <c r="F150" s="73"/>
      <c r="G150" s="111"/>
      <c r="H150" s="111"/>
    </row>
    <row r="151" ht="22.5" customHeight="1">
      <c r="A151" s="110" t="s">
        <v>616</v>
      </c>
      <c r="B151" s="69" t="s">
        <v>605</v>
      </c>
      <c r="C151" s="69" t="s">
        <v>13</v>
      </c>
      <c r="D151" s="71" t="s">
        <v>112</v>
      </c>
      <c r="E151" s="71"/>
      <c r="F151" s="73"/>
      <c r="G151" s="111"/>
      <c r="H151" s="111"/>
    </row>
    <row r="152" ht="22.5" customHeight="1">
      <c r="A152" s="110"/>
      <c r="B152" s="112"/>
      <c r="C152" s="112"/>
      <c r="D152" s="112"/>
      <c r="E152" s="69"/>
      <c r="F152" s="113"/>
      <c r="G152" s="111"/>
      <c r="H152" s="111"/>
    </row>
  </sheetData>
  <mergeCells count="1">
    <mergeCell ref="B1:E1"/>
  </mergeCells>
  <dataValidations>
    <dataValidation type="list" allowBlank="1" showErrorMessage="1" sqref="D6:D10 D13:D16 D19:D21 D24:D28 D31:D45 D48:D55 D58:D64 D67:D72 D75:D82 D85:D90 D93:D95 D98:D104 D107:D120 D123:D126 D129:D132 D135:D139 D142:D151">
      <formula1>"Brand (Off-Site),Person,Page,Website,Website Owner / Organization,Product / Service,Search Results"</formula1>
    </dataValidation>
    <dataValidation type="list" allowBlank="1" showErrorMessage="1" sqref="C6:C10 C13:C16 C19:C21 C24:C28 C31:C45 C48:C55 C58:C64 C67:C72 C75:C82 C85:C90 C93:C95 C98:C104 C107:C120 C123:C126 C129:C132 C135:C139 C142:C151">
      <formula1>"Experience,Expertise,Authority,Trust,Foundational,Reputation"</formula1>
    </dataValidation>
    <dataValidation type="list" allowBlank="1" showErrorMessage="1" sqref="E6:E10 E13:E16 E19:E21 E24:E28 E31:E45 E48:E55 E58:E64 E67:E72 E75:E82 E85:E90 E93:E95 E98:E104 E107:E120 E123:E126 E129:E132 E135:E139 E142:E151">
      <formula1>"Highest,High,Medium,Low,Lowest,n/a"</formula1>
    </dataValidation>
  </dataValidations>
  <hyperlinks>
    <hyperlink r:id="rId2" ref="B93"/>
    <hyperlink r:id="rId3" ref="B94"/>
    <hyperlink r:id="rId4" ref="B95"/>
    <hyperlink r:id="rId5" ref="B131"/>
  </hyperlinks>
  <drawing r:id="rId6"/>
  <legacyDrawing r:id="rId7"/>
  <tableParts count="1"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5.0"/>
    <col customWidth="1" min="2" max="2" width="32.5"/>
    <col customWidth="1" min="3" max="3" width="32.25"/>
    <col customWidth="1" min="4" max="4" width="24.0"/>
    <col customWidth="1" min="5" max="5" width="31.0"/>
    <col customWidth="1" min="6" max="6" width="13.88"/>
    <col customWidth="1" min="7" max="8" width="43.38"/>
  </cols>
  <sheetData>
    <row r="1" ht="43.5" customHeight="1">
      <c r="A1" s="16"/>
      <c r="B1" s="20" t="s">
        <v>18</v>
      </c>
      <c r="C1" s="7"/>
      <c r="D1" s="7"/>
      <c r="E1" s="7"/>
      <c r="F1" s="7"/>
      <c r="G1" s="8"/>
      <c r="H1" s="22"/>
    </row>
    <row r="2">
      <c r="A2" s="26"/>
      <c r="B2" s="28"/>
      <c r="C2" s="29"/>
      <c r="D2" s="29"/>
      <c r="E2" s="31"/>
      <c r="F2" s="33"/>
      <c r="G2" s="33"/>
      <c r="H2" s="37"/>
    </row>
    <row r="3">
      <c r="A3" s="39"/>
      <c r="B3" s="40"/>
      <c r="C3" s="41"/>
      <c r="D3" s="31"/>
      <c r="E3" s="31"/>
      <c r="F3" s="33"/>
      <c r="G3" s="33"/>
      <c r="H3" s="37"/>
    </row>
    <row r="4" ht="22.5" customHeight="1">
      <c r="A4" s="43" t="s">
        <v>23</v>
      </c>
      <c r="B4" s="45" t="s">
        <v>24</v>
      </c>
      <c r="C4" s="43" t="s">
        <v>26</v>
      </c>
      <c r="D4" s="43" t="s">
        <v>28</v>
      </c>
      <c r="E4" s="45" t="s">
        <v>29</v>
      </c>
      <c r="F4" s="45" t="s">
        <v>30</v>
      </c>
      <c r="G4" s="43" t="s">
        <v>32</v>
      </c>
      <c r="H4" s="49" t="s">
        <v>34</v>
      </c>
    </row>
    <row r="5" ht="22.5" customHeight="1">
      <c r="A5" s="51" t="s">
        <v>36</v>
      </c>
      <c r="B5" s="52" t="s">
        <v>41</v>
      </c>
      <c r="C5" s="55"/>
      <c r="D5" s="55"/>
      <c r="E5" s="55"/>
      <c r="F5" s="61" t="str">
        <f t="array" ref="F5:F68">ifna(vlookup(E5:E68,'Scoring Guide'!A6:B10,2,false),"")</f>
        <v/>
      </c>
      <c r="G5" s="61"/>
      <c r="H5" s="61"/>
    </row>
    <row r="6" ht="22.5" customHeight="1">
      <c r="A6" s="64" t="s">
        <v>67</v>
      </c>
      <c r="B6" s="65" t="s">
        <v>68</v>
      </c>
      <c r="C6" s="69" t="s">
        <v>76</v>
      </c>
      <c r="D6" s="70" t="s">
        <v>84</v>
      </c>
      <c r="E6" s="70"/>
      <c r="F6" s="72"/>
      <c r="G6" s="64"/>
      <c r="H6" s="72"/>
    </row>
    <row r="7" ht="22.5" customHeight="1">
      <c r="A7" s="64" t="s">
        <v>87</v>
      </c>
      <c r="B7" s="69" t="s">
        <v>88</v>
      </c>
      <c r="C7" s="75" t="s">
        <v>91</v>
      </c>
      <c r="D7" s="70" t="s">
        <v>84</v>
      </c>
      <c r="E7" s="70"/>
      <c r="F7" s="72"/>
      <c r="G7" s="64"/>
      <c r="H7" s="72"/>
    </row>
    <row r="8" ht="22.5" customHeight="1">
      <c r="A8" s="64" t="s">
        <v>100</v>
      </c>
      <c r="B8" s="69" t="s">
        <v>88</v>
      </c>
      <c r="C8" s="75" t="s">
        <v>102</v>
      </c>
      <c r="D8" s="70" t="s">
        <v>84</v>
      </c>
      <c r="E8" s="70"/>
      <c r="F8" s="72"/>
      <c r="G8" s="64"/>
      <c r="H8" s="72"/>
    </row>
    <row r="9" ht="22.5" customHeight="1">
      <c r="A9" s="64" t="s">
        <v>119</v>
      </c>
      <c r="B9" s="69" t="s">
        <v>124</v>
      </c>
      <c r="C9" s="75" t="s">
        <v>129</v>
      </c>
      <c r="D9" s="70" t="s">
        <v>84</v>
      </c>
      <c r="E9" s="70"/>
      <c r="F9" s="72"/>
      <c r="G9" s="64"/>
      <c r="H9" s="72"/>
    </row>
    <row r="10" ht="22.5" customHeight="1">
      <c r="A10" s="64" t="s">
        <v>132</v>
      </c>
      <c r="B10" s="69" t="s">
        <v>88</v>
      </c>
      <c r="C10" s="75" t="s">
        <v>93</v>
      </c>
      <c r="D10" s="70" t="s">
        <v>84</v>
      </c>
      <c r="E10" s="70"/>
      <c r="F10" s="72"/>
      <c r="G10" s="64"/>
      <c r="H10" s="72"/>
    </row>
    <row r="11" ht="22.5" customHeight="1">
      <c r="A11" s="64" t="s">
        <v>136</v>
      </c>
      <c r="B11" s="69" t="s">
        <v>88</v>
      </c>
      <c r="C11" s="69" t="s">
        <v>76</v>
      </c>
      <c r="D11" s="70" t="s">
        <v>84</v>
      </c>
      <c r="E11" s="70"/>
      <c r="F11" s="72"/>
      <c r="G11" s="64"/>
      <c r="H11" s="72"/>
    </row>
    <row r="12" ht="22.5" customHeight="1">
      <c r="A12" s="64" t="s">
        <v>143</v>
      </c>
      <c r="B12" s="69" t="s">
        <v>88</v>
      </c>
      <c r="C12" s="69" t="s">
        <v>76</v>
      </c>
      <c r="D12" s="70" t="s">
        <v>84</v>
      </c>
      <c r="E12" s="70"/>
      <c r="F12" s="72"/>
      <c r="G12" s="64"/>
      <c r="H12" s="72"/>
    </row>
    <row r="13" ht="22.5" customHeight="1">
      <c r="A13" s="64" t="s">
        <v>151</v>
      </c>
      <c r="B13" s="69" t="s">
        <v>88</v>
      </c>
      <c r="C13" s="69" t="s">
        <v>76</v>
      </c>
      <c r="D13" s="70" t="s">
        <v>84</v>
      </c>
      <c r="E13" s="70"/>
      <c r="F13" s="72"/>
      <c r="G13" s="64"/>
      <c r="H13" s="72"/>
    </row>
    <row r="14" ht="22.5" customHeight="1">
      <c r="A14" s="64" t="s">
        <v>159</v>
      </c>
      <c r="B14" s="69" t="s">
        <v>88</v>
      </c>
      <c r="C14" s="75" t="s">
        <v>129</v>
      </c>
      <c r="D14" s="70" t="s">
        <v>84</v>
      </c>
      <c r="E14" s="70"/>
      <c r="F14" s="72"/>
      <c r="G14" s="64"/>
      <c r="H14" s="72"/>
    </row>
    <row r="15" ht="22.5" customHeight="1">
      <c r="A15" s="64" t="s">
        <v>167</v>
      </c>
      <c r="B15" s="69" t="s">
        <v>88</v>
      </c>
      <c r="C15" s="75" t="s">
        <v>91</v>
      </c>
      <c r="D15" s="70" t="s">
        <v>84</v>
      </c>
      <c r="E15" s="70"/>
      <c r="F15" s="72"/>
      <c r="G15" s="64"/>
      <c r="H15" s="72"/>
    </row>
    <row r="16" ht="22.5" customHeight="1">
      <c r="A16" s="64" t="s">
        <v>173</v>
      </c>
      <c r="B16" s="69" t="s">
        <v>88</v>
      </c>
      <c r="C16" s="75" t="s">
        <v>176</v>
      </c>
      <c r="D16" s="70" t="s">
        <v>84</v>
      </c>
      <c r="E16" s="70"/>
      <c r="F16" s="72"/>
      <c r="G16" s="64"/>
      <c r="H16" s="72"/>
    </row>
    <row r="17" ht="22.5" customHeight="1">
      <c r="A17" s="64" t="s">
        <v>180</v>
      </c>
      <c r="B17" s="69" t="s">
        <v>88</v>
      </c>
      <c r="C17" s="75" t="s">
        <v>129</v>
      </c>
      <c r="D17" s="70" t="s">
        <v>84</v>
      </c>
      <c r="E17" s="70"/>
      <c r="F17" s="72"/>
      <c r="G17" s="64"/>
      <c r="H17" s="72"/>
    </row>
    <row r="18" ht="22.5" customHeight="1">
      <c r="A18" s="64" t="s">
        <v>186</v>
      </c>
      <c r="B18" s="69" t="s">
        <v>88</v>
      </c>
      <c r="C18" s="75" t="s">
        <v>190</v>
      </c>
      <c r="D18" s="70" t="s">
        <v>84</v>
      </c>
      <c r="E18" s="70"/>
      <c r="F18" s="72"/>
      <c r="G18" s="64"/>
      <c r="H18" s="72"/>
    </row>
    <row r="19" ht="22.5" customHeight="1">
      <c r="A19" s="64" t="s">
        <v>197</v>
      </c>
      <c r="B19" s="69" t="s">
        <v>88</v>
      </c>
      <c r="C19" s="75" t="s">
        <v>198</v>
      </c>
      <c r="D19" s="70" t="s">
        <v>84</v>
      </c>
      <c r="E19" s="70"/>
      <c r="F19" s="72"/>
      <c r="G19" s="64"/>
      <c r="H19" s="72"/>
    </row>
    <row r="20" ht="22.5" customHeight="1">
      <c r="A20" s="64" t="s">
        <v>206</v>
      </c>
      <c r="B20" s="69" t="s">
        <v>88</v>
      </c>
      <c r="C20" s="75" t="s">
        <v>91</v>
      </c>
      <c r="D20" s="70" t="s">
        <v>84</v>
      </c>
      <c r="E20" s="70"/>
      <c r="F20" s="72"/>
      <c r="G20" s="64"/>
      <c r="H20" s="72"/>
    </row>
    <row r="21" ht="22.5" customHeight="1">
      <c r="A21" s="64"/>
      <c r="B21" s="96"/>
      <c r="C21" s="87"/>
      <c r="D21" s="87"/>
      <c r="E21" s="87"/>
      <c r="F21" s="72"/>
      <c r="G21" s="64"/>
      <c r="H21" s="72"/>
    </row>
    <row r="22" ht="22.5" customHeight="1">
      <c r="A22" s="98" t="s">
        <v>227</v>
      </c>
      <c r="B22" s="52" t="s">
        <v>230</v>
      </c>
      <c r="C22" s="87"/>
      <c r="D22" s="87"/>
      <c r="E22" s="87"/>
      <c r="F22" s="72"/>
      <c r="G22" s="64"/>
      <c r="H22" s="72"/>
    </row>
    <row r="23" ht="22.5" customHeight="1">
      <c r="A23" s="64" t="s">
        <v>251</v>
      </c>
      <c r="B23" s="69" t="s">
        <v>88</v>
      </c>
      <c r="C23" s="75" t="s">
        <v>264</v>
      </c>
      <c r="D23" s="70" t="s">
        <v>84</v>
      </c>
      <c r="E23" s="70"/>
      <c r="F23" s="72"/>
      <c r="G23" s="64"/>
      <c r="H23" s="72"/>
    </row>
    <row r="24" ht="22.5" customHeight="1">
      <c r="A24" s="74" t="s">
        <v>296</v>
      </c>
      <c r="B24" s="69" t="s">
        <v>88</v>
      </c>
      <c r="C24" s="69" t="s">
        <v>76</v>
      </c>
      <c r="D24" s="70" t="s">
        <v>84</v>
      </c>
      <c r="E24" s="70"/>
      <c r="F24" s="72"/>
      <c r="G24" s="104" t="s">
        <v>316</v>
      </c>
      <c r="H24" s="72"/>
    </row>
    <row r="25" ht="22.5" customHeight="1">
      <c r="A25" s="64" t="s">
        <v>320</v>
      </c>
      <c r="B25" s="69" t="s">
        <v>88</v>
      </c>
      <c r="C25" s="75" t="s">
        <v>10</v>
      </c>
      <c r="D25" s="70" t="s">
        <v>84</v>
      </c>
      <c r="E25" s="70"/>
      <c r="F25" s="72"/>
      <c r="G25" s="64"/>
      <c r="H25" s="72"/>
    </row>
    <row r="26" ht="22.5" customHeight="1">
      <c r="A26" s="64" t="s">
        <v>325</v>
      </c>
      <c r="B26" s="69" t="s">
        <v>88</v>
      </c>
      <c r="C26" s="75" t="s">
        <v>13</v>
      </c>
      <c r="D26" s="70" t="s">
        <v>84</v>
      </c>
      <c r="E26" s="70"/>
      <c r="F26" s="72"/>
      <c r="G26" s="64"/>
      <c r="H26" s="72"/>
    </row>
    <row r="27" ht="22.5" customHeight="1">
      <c r="A27" s="64" t="s">
        <v>328</v>
      </c>
      <c r="B27" s="69" t="s">
        <v>88</v>
      </c>
      <c r="C27" s="75" t="s">
        <v>129</v>
      </c>
      <c r="D27" s="70" t="s">
        <v>84</v>
      </c>
      <c r="E27" s="70"/>
      <c r="F27" s="72"/>
      <c r="G27" s="64"/>
      <c r="H27" s="72"/>
    </row>
    <row r="28" ht="22.5" customHeight="1">
      <c r="A28" s="64" t="s">
        <v>332</v>
      </c>
      <c r="B28" s="69" t="s">
        <v>88</v>
      </c>
      <c r="C28" s="75" t="s">
        <v>11</v>
      </c>
      <c r="D28" s="70" t="s">
        <v>84</v>
      </c>
      <c r="E28" s="70"/>
      <c r="F28" s="72"/>
      <c r="G28" s="64"/>
      <c r="H28" s="72"/>
    </row>
    <row r="29" ht="22.5" customHeight="1">
      <c r="A29" s="74" t="s">
        <v>333</v>
      </c>
      <c r="B29" s="69" t="s">
        <v>88</v>
      </c>
      <c r="C29" s="75" t="s">
        <v>11</v>
      </c>
      <c r="D29" s="70" t="s">
        <v>84</v>
      </c>
      <c r="E29" s="70"/>
      <c r="F29" s="72"/>
      <c r="G29" s="64"/>
      <c r="H29" s="72"/>
    </row>
    <row r="30" ht="22.5" customHeight="1">
      <c r="A30" s="64" t="s">
        <v>338</v>
      </c>
      <c r="B30" s="69" t="s">
        <v>88</v>
      </c>
      <c r="C30" s="75" t="s">
        <v>339</v>
      </c>
      <c r="D30" s="70" t="s">
        <v>84</v>
      </c>
      <c r="E30" s="70"/>
      <c r="F30" s="72"/>
      <c r="G30" s="64"/>
      <c r="H30" s="72"/>
    </row>
    <row r="31" ht="22.5" customHeight="1">
      <c r="A31" s="74" t="s">
        <v>344</v>
      </c>
      <c r="B31" s="69" t="s">
        <v>88</v>
      </c>
      <c r="C31" s="75" t="s">
        <v>345</v>
      </c>
      <c r="D31" s="70" t="s">
        <v>84</v>
      </c>
      <c r="E31" s="70"/>
      <c r="F31" s="72"/>
      <c r="G31" s="64"/>
      <c r="H31" s="72"/>
    </row>
    <row r="32" ht="22.5" customHeight="1">
      <c r="A32" s="74" t="s">
        <v>347</v>
      </c>
      <c r="B32" s="69" t="s">
        <v>88</v>
      </c>
      <c r="C32" s="75" t="s">
        <v>176</v>
      </c>
      <c r="D32" s="70" t="s">
        <v>84</v>
      </c>
      <c r="E32" s="70"/>
      <c r="F32" s="72"/>
      <c r="G32" s="64"/>
      <c r="H32" s="72"/>
    </row>
    <row r="33" ht="22.5" customHeight="1">
      <c r="A33" s="64" t="s">
        <v>351</v>
      </c>
      <c r="B33" s="69" t="s">
        <v>88</v>
      </c>
      <c r="C33" s="75" t="s">
        <v>75</v>
      </c>
      <c r="D33" s="70" t="s">
        <v>84</v>
      </c>
      <c r="E33" s="70"/>
      <c r="F33" s="72"/>
      <c r="G33" s="64"/>
      <c r="H33" s="72"/>
    </row>
    <row r="34" ht="22.5" customHeight="1">
      <c r="A34" s="64"/>
      <c r="B34" s="69"/>
      <c r="C34" s="87"/>
      <c r="D34" s="75"/>
      <c r="E34" s="87"/>
      <c r="F34" s="72"/>
      <c r="G34" s="64"/>
      <c r="H34" s="72"/>
    </row>
    <row r="35" ht="22.5" customHeight="1">
      <c r="A35" s="50" t="s">
        <v>357</v>
      </c>
      <c r="B35" s="52" t="s">
        <v>360</v>
      </c>
      <c r="C35" s="87"/>
      <c r="D35" s="75"/>
      <c r="E35" s="87"/>
      <c r="F35" s="72"/>
      <c r="G35" s="64"/>
      <c r="H35" s="72"/>
    </row>
    <row r="36" ht="22.5" customHeight="1">
      <c r="A36" s="64" t="s">
        <v>365</v>
      </c>
      <c r="B36" s="69" t="s">
        <v>366</v>
      </c>
      <c r="C36" s="69" t="s">
        <v>76</v>
      </c>
      <c r="D36" s="70" t="s">
        <v>215</v>
      </c>
      <c r="E36" s="70"/>
      <c r="F36" s="72"/>
      <c r="G36" s="64"/>
      <c r="H36" s="72"/>
    </row>
    <row r="37" ht="22.5" customHeight="1">
      <c r="A37" s="64" t="s">
        <v>371</v>
      </c>
      <c r="B37" s="69" t="s">
        <v>373</v>
      </c>
      <c r="C37" s="75" t="s">
        <v>213</v>
      </c>
      <c r="D37" s="70" t="s">
        <v>215</v>
      </c>
      <c r="E37" s="70"/>
      <c r="F37" s="72"/>
      <c r="G37" s="64"/>
      <c r="H37" s="72"/>
    </row>
    <row r="38" ht="22.5" customHeight="1">
      <c r="A38" s="64" t="s">
        <v>375</v>
      </c>
      <c r="B38" s="69" t="s">
        <v>377</v>
      </c>
      <c r="C38" s="75" t="s">
        <v>213</v>
      </c>
      <c r="D38" s="70" t="s">
        <v>215</v>
      </c>
      <c r="E38" s="70"/>
      <c r="F38" s="72"/>
      <c r="G38" s="64"/>
      <c r="H38" s="72"/>
    </row>
    <row r="39" ht="22.5" customHeight="1">
      <c r="A39" s="64" t="s">
        <v>380</v>
      </c>
      <c r="B39" s="69" t="s">
        <v>382</v>
      </c>
      <c r="C39" s="75" t="s">
        <v>213</v>
      </c>
      <c r="D39" s="70" t="s">
        <v>215</v>
      </c>
      <c r="E39" s="70"/>
      <c r="F39" s="72"/>
      <c r="G39" s="64"/>
      <c r="H39" s="72"/>
    </row>
    <row r="40" ht="22.5" customHeight="1">
      <c r="A40" s="64" t="s">
        <v>385</v>
      </c>
      <c r="B40" s="69" t="s">
        <v>386</v>
      </c>
      <c r="C40" s="75" t="s">
        <v>339</v>
      </c>
      <c r="D40" s="70" t="s">
        <v>215</v>
      </c>
      <c r="E40" s="70"/>
      <c r="F40" s="72"/>
      <c r="G40" s="106"/>
      <c r="H40" s="107"/>
    </row>
    <row r="41" ht="22.5" customHeight="1">
      <c r="A41" s="64" t="s">
        <v>388</v>
      </c>
      <c r="B41" s="69" t="s">
        <v>390</v>
      </c>
      <c r="C41" s="75" t="s">
        <v>176</v>
      </c>
      <c r="D41" s="70" t="s">
        <v>215</v>
      </c>
      <c r="E41" s="70"/>
      <c r="F41" s="72"/>
      <c r="G41" s="64"/>
      <c r="H41" s="72"/>
    </row>
    <row r="42" ht="22.5" customHeight="1">
      <c r="A42" s="64" t="s">
        <v>393</v>
      </c>
      <c r="B42" s="69" t="s">
        <v>394</v>
      </c>
      <c r="C42" s="69" t="s">
        <v>76</v>
      </c>
      <c r="D42" s="70" t="s">
        <v>215</v>
      </c>
      <c r="E42" s="70"/>
      <c r="F42" s="72"/>
      <c r="G42" s="64"/>
      <c r="H42" s="72"/>
    </row>
    <row r="43" ht="22.5" customHeight="1">
      <c r="A43" s="64" t="s">
        <v>397</v>
      </c>
      <c r="B43" s="69" t="s">
        <v>398</v>
      </c>
      <c r="C43" s="75" t="s">
        <v>129</v>
      </c>
      <c r="D43" s="70" t="s">
        <v>215</v>
      </c>
      <c r="E43" s="70"/>
      <c r="F43" s="72"/>
      <c r="G43" s="64"/>
      <c r="H43" s="72"/>
    </row>
    <row r="44" ht="22.5" customHeight="1">
      <c r="A44" s="64"/>
      <c r="B44" s="96"/>
      <c r="C44" s="87"/>
      <c r="D44" s="75"/>
      <c r="E44" s="87"/>
      <c r="F44" s="72"/>
      <c r="G44" s="64"/>
      <c r="H44" s="72"/>
    </row>
    <row r="45" ht="22.5" customHeight="1">
      <c r="A45" s="50" t="s">
        <v>405</v>
      </c>
      <c r="B45" s="52" t="s">
        <v>406</v>
      </c>
      <c r="C45" s="87"/>
      <c r="D45" s="75"/>
      <c r="E45" s="87"/>
      <c r="F45" s="72"/>
      <c r="G45" s="64"/>
      <c r="H45" s="72"/>
    </row>
    <row r="46" ht="22.5" customHeight="1">
      <c r="A46" s="64" t="s">
        <v>409</v>
      </c>
      <c r="B46" s="69" t="s">
        <v>364</v>
      </c>
      <c r="C46" s="75" t="s">
        <v>129</v>
      </c>
      <c r="D46" s="70" t="s">
        <v>84</v>
      </c>
      <c r="E46" s="70"/>
      <c r="F46" s="72"/>
      <c r="G46" s="64"/>
      <c r="H46" s="72"/>
    </row>
    <row r="47" ht="22.5" customHeight="1">
      <c r="A47" s="64" t="s">
        <v>414</v>
      </c>
      <c r="B47" s="69" t="s">
        <v>364</v>
      </c>
      <c r="C47" s="75" t="s">
        <v>11</v>
      </c>
      <c r="D47" s="70" t="s">
        <v>84</v>
      </c>
      <c r="E47" s="70"/>
      <c r="F47" s="72"/>
      <c r="G47" s="64"/>
      <c r="H47" s="72"/>
    </row>
    <row r="48" ht="22.5" customHeight="1">
      <c r="A48" s="64" t="s">
        <v>418</v>
      </c>
      <c r="B48" s="69" t="s">
        <v>364</v>
      </c>
      <c r="C48" s="75" t="s">
        <v>10</v>
      </c>
      <c r="D48" s="70" t="s">
        <v>84</v>
      </c>
      <c r="E48" s="70"/>
      <c r="F48" s="72"/>
      <c r="G48" s="64"/>
      <c r="H48" s="72"/>
    </row>
    <row r="49" ht="22.5" customHeight="1">
      <c r="A49" s="64" t="s">
        <v>421</v>
      </c>
      <c r="B49" s="69" t="s">
        <v>364</v>
      </c>
      <c r="C49" s="75" t="s">
        <v>422</v>
      </c>
      <c r="D49" s="70" t="s">
        <v>84</v>
      </c>
      <c r="E49" s="70"/>
      <c r="F49" s="72"/>
      <c r="G49" s="64"/>
      <c r="H49" s="72"/>
    </row>
    <row r="50" ht="22.5" customHeight="1">
      <c r="A50" s="64" t="s">
        <v>424</v>
      </c>
      <c r="B50" s="69" t="s">
        <v>364</v>
      </c>
      <c r="C50" s="75" t="s">
        <v>198</v>
      </c>
      <c r="D50" s="70" t="s">
        <v>84</v>
      </c>
      <c r="E50" s="70"/>
      <c r="F50" s="72"/>
      <c r="G50" s="64"/>
      <c r="H50" s="72"/>
    </row>
    <row r="51" ht="22.5" customHeight="1">
      <c r="A51" s="64" t="s">
        <v>429</v>
      </c>
      <c r="B51" s="69" t="s">
        <v>431</v>
      </c>
      <c r="C51" s="75" t="s">
        <v>433</v>
      </c>
      <c r="D51" s="70" t="s">
        <v>84</v>
      </c>
      <c r="E51" s="70"/>
      <c r="F51" s="72"/>
      <c r="G51" s="64"/>
      <c r="H51" s="72"/>
    </row>
    <row r="52" ht="22.5" customHeight="1">
      <c r="A52" s="64" t="s">
        <v>434</v>
      </c>
      <c r="B52" s="69" t="s">
        <v>435</v>
      </c>
      <c r="C52" s="69" t="s">
        <v>76</v>
      </c>
      <c r="D52" s="70" t="s">
        <v>84</v>
      </c>
      <c r="E52" s="70"/>
      <c r="F52" s="72"/>
      <c r="G52" s="64"/>
      <c r="H52" s="72"/>
    </row>
    <row r="53" ht="22.5" customHeight="1">
      <c r="A53" s="64" t="s">
        <v>438</v>
      </c>
      <c r="B53" s="69" t="s">
        <v>134</v>
      </c>
      <c r="C53" s="75" t="s">
        <v>135</v>
      </c>
      <c r="D53" s="70" t="s">
        <v>84</v>
      </c>
      <c r="E53" s="70"/>
      <c r="F53" s="72"/>
      <c r="G53" s="64"/>
      <c r="H53" s="72"/>
    </row>
    <row r="54" ht="22.5" customHeight="1">
      <c r="A54" s="64"/>
      <c r="B54" s="69"/>
      <c r="C54" s="87"/>
      <c r="D54" s="75"/>
      <c r="E54" s="87"/>
      <c r="F54" s="72"/>
      <c r="G54" s="64"/>
      <c r="H54" s="72"/>
    </row>
    <row r="55" ht="22.5" customHeight="1">
      <c r="A55" s="50" t="s">
        <v>443</v>
      </c>
      <c r="B55" s="52" t="s">
        <v>444</v>
      </c>
      <c r="C55" s="87"/>
      <c r="D55" s="75"/>
      <c r="E55" s="87"/>
      <c r="F55" s="72"/>
      <c r="G55" s="64"/>
      <c r="H55" s="72"/>
    </row>
    <row r="56" ht="22.5" customHeight="1">
      <c r="A56" s="64" t="s">
        <v>447</v>
      </c>
      <c r="B56" s="69" t="s">
        <v>448</v>
      </c>
      <c r="C56" s="75" t="s">
        <v>450</v>
      </c>
      <c r="D56" s="70" t="s">
        <v>84</v>
      </c>
      <c r="E56" s="70"/>
      <c r="F56" s="72"/>
      <c r="G56" s="64"/>
      <c r="H56" s="72"/>
    </row>
    <row r="57" ht="22.5" customHeight="1">
      <c r="A57" s="64" t="s">
        <v>453</v>
      </c>
      <c r="B57" s="69" t="s">
        <v>448</v>
      </c>
      <c r="C57" s="75" t="s">
        <v>450</v>
      </c>
      <c r="D57" s="70" t="s">
        <v>84</v>
      </c>
      <c r="E57" s="70"/>
      <c r="F57" s="72"/>
      <c r="G57" s="64"/>
      <c r="H57" s="72"/>
    </row>
    <row r="58" ht="22.5" customHeight="1">
      <c r="A58" s="64" t="s">
        <v>458</v>
      </c>
      <c r="B58" s="69" t="s">
        <v>448</v>
      </c>
      <c r="C58" s="69" t="s">
        <v>76</v>
      </c>
      <c r="D58" s="70" t="s">
        <v>84</v>
      </c>
      <c r="E58" s="70"/>
      <c r="F58" s="72"/>
      <c r="G58" s="64"/>
      <c r="H58" s="72"/>
    </row>
    <row r="59" ht="22.5" customHeight="1">
      <c r="A59" s="64" t="s">
        <v>461</v>
      </c>
      <c r="B59" s="69" t="s">
        <v>448</v>
      </c>
      <c r="C59" s="69" t="s">
        <v>76</v>
      </c>
      <c r="D59" s="70" t="s">
        <v>84</v>
      </c>
      <c r="E59" s="70"/>
      <c r="F59" s="72"/>
      <c r="G59" s="64"/>
      <c r="H59" s="72"/>
    </row>
    <row r="60" ht="22.5" customHeight="1">
      <c r="A60" s="64" t="s">
        <v>463</v>
      </c>
      <c r="B60" s="69" t="s">
        <v>448</v>
      </c>
      <c r="C60" s="75" t="s">
        <v>78</v>
      </c>
      <c r="D60" s="70" t="s">
        <v>215</v>
      </c>
      <c r="E60" s="70"/>
      <c r="F60" s="72"/>
      <c r="G60" s="64"/>
      <c r="H60" s="72"/>
    </row>
    <row r="61" ht="22.5" customHeight="1">
      <c r="A61" s="64" t="s">
        <v>466</v>
      </c>
      <c r="B61" s="69" t="s">
        <v>448</v>
      </c>
      <c r="C61" s="69" t="s">
        <v>76</v>
      </c>
      <c r="D61" s="70" t="s">
        <v>84</v>
      </c>
      <c r="E61" s="70"/>
      <c r="F61" s="72"/>
      <c r="G61" s="64"/>
      <c r="H61" s="72"/>
    </row>
    <row r="62" ht="22.5" customHeight="1">
      <c r="A62" s="64"/>
      <c r="B62" s="69"/>
      <c r="C62" s="87"/>
      <c r="D62" s="87"/>
      <c r="E62" s="87"/>
      <c r="F62" s="72"/>
      <c r="G62" s="64"/>
      <c r="H62" s="72"/>
    </row>
    <row r="63" ht="22.5" customHeight="1">
      <c r="A63" s="98" t="s">
        <v>471</v>
      </c>
      <c r="B63" s="52" t="s">
        <v>472</v>
      </c>
      <c r="C63" s="87"/>
      <c r="D63" s="87"/>
      <c r="E63" s="87"/>
      <c r="F63" s="72"/>
      <c r="G63" s="64"/>
      <c r="H63" s="72"/>
    </row>
    <row r="64" ht="22.5" customHeight="1">
      <c r="A64" s="64" t="s">
        <v>476</v>
      </c>
      <c r="B64" s="69" t="s">
        <v>364</v>
      </c>
      <c r="C64" s="75" t="s">
        <v>160</v>
      </c>
      <c r="D64" s="70" t="s">
        <v>84</v>
      </c>
      <c r="E64" s="70"/>
      <c r="F64" s="72"/>
      <c r="G64" s="64"/>
      <c r="H64" s="72"/>
    </row>
    <row r="65" ht="22.5" customHeight="1">
      <c r="A65" s="64" t="s">
        <v>478</v>
      </c>
      <c r="B65" s="69" t="s">
        <v>364</v>
      </c>
      <c r="C65" s="75" t="s">
        <v>160</v>
      </c>
      <c r="D65" s="70" t="s">
        <v>84</v>
      </c>
      <c r="E65" s="70"/>
      <c r="F65" s="72"/>
      <c r="G65" s="64"/>
      <c r="H65" s="72"/>
    </row>
    <row r="66" ht="22.5" customHeight="1">
      <c r="A66" s="64" t="s">
        <v>481</v>
      </c>
      <c r="B66" s="69" t="s">
        <v>482</v>
      </c>
      <c r="C66" s="75" t="s">
        <v>176</v>
      </c>
      <c r="D66" s="70" t="s">
        <v>84</v>
      </c>
      <c r="E66" s="70"/>
      <c r="F66" s="72"/>
      <c r="G66" s="64"/>
      <c r="H66" s="72"/>
    </row>
    <row r="67" ht="22.5" customHeight="1">
      <c r="A67" s="64" t="s">
        <v>486</v>
      </c>
      <c r="B67" s="69" t="s">
        <v>364</v>
      </c>
      <c r="C67" s="75" t="s">
        <v>102</v>
      </c>
      <c r="D67" s="70" t="s">
        <v>84</v>
      </c>
      <c r="E67" s="70"/>
      <c r="F67" s="72"/>
      <c r="G67" s="64"/>
      <c r="H67" s="72"/>
    </row>
    <row r="68" ht="22.5" customHeight="1">
      <c r="A68" s="64" t="s">
        <v>490</v>
      </c>
      <c r="B68" s="69" t="s">
        <v>134</v>
      </c>
      <c r="C68" s="75" t="s">
        <v>135</v>
      </c>
      <c r="D68" s="70" t="s">
        <v>84</v>
      </c>
      <c r="E68" s="70"/>
      <c r="F68" s="72"/>
      <c r="G68" s="64"/>
      <c r="H68" s="72"/>
    </row>
  </sheetData>
  <mergeCells count="1">
    <mergeCell ref="B1:G1"/>
  </mergeCells>
  <dataValidations>
    <dataValidation type="list" allowBlank="1" showErrorMessage="1" sqref="D6:D20 D23:D33 D36:D43 D46:D53 D56:D61 D64:D68">
      <formula1>"Brand (Off-Site),Person,Page,Website,Website Owner / Organization,Product / Service,Search Results"</formula1>
    </dataValidation>
    <dataValidation type="list" allowBlank="1" showErrorMessage="1" sqref="C6:C20 C23:C33 C36:C43 C46:C53 C56:C61 C64:C68">
      <formula1>"Experience,Expertise,Authority,Trust,Foundational,Reputation"</formula1>
    </dataValidation>
    <dataValidation type="list" allowBlank="1" showErrorMessage="1" sqref="E6:E20 E23:E33 E36:E43 E46:E53 E56:E61 E64:E68">
      <formula1>"Highest,High,Medium,Low,Lowest,n/a"</formula1>
    </dataValidation>
  </dataValidations>
  <hyperlinks>
    <hyperlink r:id="rId2" ref="G24"/>
  </hyperlinks>
  <drawing r:id="rId3"/>
  <legacyDrawing r:id="rId4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6.63"/>
    <col customWidth="1" min="2" max="2" width="32.5"/>
    <col customWidth="1" min="3" max="3" width="30.88"/>
    <col customWidth="1" min="4" max="4" width="31.0"/>
    <col customWidth="1" min="5" max="5" width="16.75"/>
    <col customWidth="1" min="6" max="6" width="24.0"/>
    <col customWidth="1" min="7" max="8" width="28.25"/>
  </cols>
  <sheetData>
    <row r="1" ht="43.5" customHeight="1">
      <c r="A1" s="16"/>
      <c r="B1" s="20" t="s">
        <v>115</v>
      </c>
      <c r="C1" s="7"/>
      <c r="D1" s="7"/>
      <c r="E1" s="7"/>
      <c r="F1" s="7"/>
      <c r="G1" s="7"/>
      <c r="H1" s="8"/>
    </row>
    <row r="2">
      <c r="A2" s="26"/>
      <c r="B2" s="28"/>
      <c r="C2" s="81"/>
      <c r="D2" s="32"/>
      <c r="E2" s="32"/>
      <c r="F2" s="82"/>
      <c r="G2" s="33"/>
      <c r="H2" s="37"/>
    </row>
    <row r="3">
      <c r="A3" s="39"/>
      <c r="B3" s="40"/>
      <c r="C3" s="83"/>
      <c r="D3" s="32"/>
      <c r="E3" s="32"/>
      <c r="F3" s="37"/>
      <c r="G3" s="33"/>
      <c r="H3" s="37"/>
    </row>
    <row r="4" ht="22.5" customHeight="1">
      <c r="A4" s="43" t="s">
        <v>23</v>
      </c>
      <c r="B4" s="45" t="s">
        <v>24</v>
      </c>
      <c r="C4" s="43" t="s">
        <v>26</v>
      </c>
      <c r="D4" s="43" t="s">
        <v>28</v>
      </c>
      <c r="E4" s="45" t="s">
        <v>29</v>
      </c>
      <c r="F4" s="45" t="s">
        <v>30</v>
      </c>
      <c r="G4" s="43" t="s">
        <v>32</v>
      </c>
      <c r="H4" s="49" t="s">
        <v>34</v>
      </c>
    </row>
    <row r="5" ht="22.5" customHeight="1">
      <c r="A5" s="85" t="s">
        <v>138</v>
      </c>
      <c r="B5" s="52" t="s">
        <v>139</v>
      </c>
      <c r="C5" s="87"/>
      <c r="D5" s="87"/>
      <c r="E5" s="87"/>
      <c r="F5" s="90" t="str">
        <f t="array" ref="F5:F75">ifna(vlookup(E5:E75,'Scoring Guide'!A6:B10,2,false),"")</f>
        <v/>
      </c>
      <c r="G5" s="90"/>
      <c r="H5" s="90"/>
    </row>
    <row r="6" ht="22.5" customHeight="1">
      <c r="A6" s="93" t="s">
        <v>157</v>
      </c>
      <c r="B6" s="69" t="s">
        <v>158</v>
      </c>
      <c r="C6" s="75" t="s">
        <v>160</v>
      </c>
      <c r="D6" s="70" t="s">
        <v>166</v>
      </c>
      <c r="E6" s="70"/>
      <c r="F6" s="90"/>
      <c r="G6" s="90"/>
      <c r="H6" s="90"/>
    </row>
    <row r="7" ht="22.5" customHeight="1">
      <c r="A7" s="94" t="s">
        <v>172</v>
      </c>
      <c r="B7" s="69" t="s">
        <v>158</v>
      </c>
      <c r="C7" s="75" t="s">
        <v>13</v>
      </c>
      <c r="D7" s="70" t="s">
        <v>166</v>
      </c>
      <c r="E7" s="70"/>
      <c r="F7" s="90"/>
      <c r="G7" s="90"/>
      <c r="H7" s="90"/>
    </row>
    <row r="8" ht="22.5" customHeight="1">
      <c r="A8" s="94" t="s">
        <v>179</v>
      </c>
      <c r="B8" s="69" t="s">
        <v>134</v>
      </c>
      <c r="C8" s="75" t="s">
        <v>135</v>
      </c>
      <c r="D8" s="70" t="s">
        <v>166</v>
      </c>
      <c r="E8" s="70"/>
      <c r="F8" s="90"/>
      <c r="G8" s="90"/>
      <c r="H8" s="90"/>
    </row>
    <row r="9" ht="22.5" customHeight="1">
      <c r="A9" s="94"/>
      <c r="B9" s="69"/>
      <c r="C9" s="87"/>
      <c r="D9" s="87"/>
      <c r="E9" s="87"/>
      <c r="F9" s="90"/>
      <c r="G9" s="90"/>
      <c r="H9" s="90"/>
    </row>
    <row r="10" ht="22.5" customHeight="1">
      <c r="A10" s="85" t="s">
        <v>192</v>
      </c>
      <c r="B10" s="52" t="s">
        <v>194</v>
      </c>
      <c r="C10" s="87"/>
      <c r="D10" s="87"/>
      <c r="E10" s="87"/>
      <c r="F10" s="90"/>
      <c r="G10" s="90"/>
      <c r="H10" s="90"/>
    </row>
    <row r="11" ht="22.5" customHeight="1">
      <c r="A11" s="93" t="s">
        <v>204</v>
      </c>
      <c r="B11" s="69" t="s">
        <v>205</v>
      </c>
      <c r="C11" s="75" t="s">
        <v>13</v>
      </c>
      <c r="D11" s="70" t="s">
        <v>166</v>
      </c>
      <c r="E11" s="70"/>
      <c r="F11" s="90"/>
      <c r="G11" s="90"/>
      <c r="H11" s="90"/>
    </row>
    <row r="12" ht="22.5" customHeight="1">
      <c r="A12" s="94" t="s">
        <v>212</v>
      </c>
      <c r="B12" s="69" t="s">
        <v>214</v>
      </c>
      <c r="C12" s="75" t="s">
        <v>213</v>
      </c>
      <c r="D12" s="70" t="s">
        <v>166</v>
      </c>
      <c r="E12" s="70"/>
      <c r="F12" s="90"/>
      <c r="G12" s="90"/>
      <c r="H12" s="90"/>
    </row>
    <row r="13" ht="22.5" customHeight="1">
      <c r="A13" s="94" t="s">
        <v>222</v>
      </c>
      <c r="B13" s="69" t="s">
        <v>224</v>
      </c>
      <c r="C13" s="75" t="s">
        <v>13</v>
      </c>
      <c r="D13" s="70" t="s">
        <v>166</v>
      </c>
      <c r="E13" s="70"/>
      <c r="F13" s="90"/>
      <c r="G13" s="90"/>
      <c r="H13" s="90"/>
    </row>
    <row r="14" ht="22.5" customHeight="1">
      <c r="A14" s="94" t="s">
        <v>250</v>
      </c>
      <c r="B14" s="103" t="s">
        <v>259</v>
      </c>
      <c r="C14" s="75" t="s">
        <v>102</v>
      </c>
      <c r="D14" s="70" t="s">
        <v>166</v>
      </c>
      <c r="E14" s="70"/>
      <c r="F14" s="90"/>
      <c r="G14" s="90"/>
      <c r="H14" s="90"/>
    </row>
    <row r="15" ht="22.5" customHeight="1">
      <c r="A15" s="94" t="s">
        <v>311</v>
      </c>
      <c r="B15" s="69" t="s">
        <v>224</v>
      </c>
      <c r="C15" s="75" t="s">
        <v>129</v>
      </c>
      <c r="D15" s="70" t="s">
        <v>166</v>
      </c>
      <c r="E15" s="70"/>
      <c r="F15" s="90"/>
      <c r="G15" s="90"/>
      <c r="H15" s="90"/>
    </row>
    <row r="16" ht="22.5" customHeight="1">
      <c r="A16" s="94" t="s">
        <v>318</v>
      </c>
      <c r="B16" s="69" t="s">
        <v>319</v>
      </c>
      <c r="C16" s="75" t="s">
        <v>176</v>
      </c>
      <c r="D16" s="70" t="s">
        <v>166</v>
      </c>
      <c r="E16" s="70"/>
      <c r="F16" s="90"/>
      <c r="G16" s="90"/>
      <c r="H16" s="90"/>
    </row>
    <row r="17" ht="22.5" customHeight="1">
      <c r="A17" s="93" t="s">
        <v>321</v>
      </c>
      <c r="B17" s="69" t="s">
        <v>323</v>
      </c>
      <c r="C17" s="75" t="s">
        <v>324</v>
      </c>
      <c r="D17" s="70" t="s">
        <v>166</v>
      </c>
      <c r="E17" s="70"/>
      <c r="F17" s="90"/>
      <c r="G17" s="90"/>
      <c r="H17" s="90"/>
    </row>
    <row r="18" ht="22.5" customHeight="1">
      <c r="A18" s="93" t="s">
        <v>326</v>
      </c>
      <c r="B18" s="69" t="s">
        <v>323</v>
      </c>
      <c r="C18" s="75" t="s">
        <v>11</v>
      </c>
      <c r="D18" s="70" t="s">
        <v>166</v>
      </c>
      <c r="E18" s="70"/>
      <c r="F18" s="90"/>
      <c r="G18" s="90"/>
      <c r="H18" s="90"/>
    </row>
    <row r="19" ht="22.5" customHeight="1">
      <c r="A19" s="94" t="s">
        <v>329</v>
      </c>
      <c r="B19" s="69" t="s">
        <v>331</v>
      </c>
      <c r="C19" s="75" t="s">
        <v>91</v>
      </c>
      <c r="D19" s="70" t="s">
        <v>166</v>
      </c>
      <c r="E19" s="70"/>
      <c r="F19" s="90"/>
      <c r="G19" s="90"/>
      <c r="H19" s="90"/>
    </row>
    <row r="20" ht="22.5" customHeight="1">
      <c r="A20" s="94"/>
      <c r="B20" s="96"/>
      <c r="C20" s="87"/>
      <c r="D20" s="75"/>
      <c r="E20" s="87"/>
      <c r="F20" s="90"/>
      <c r="G20" s="90"/>
      <c r="H20" s="90"/>
    </row>
    <row r="21" ht="22.5" customHeight="1">
      <c r="A21" s="105" t="s">
        <v>335</v>
      </c>
      <c r="B21" s="52" t="s">
        <v>337</v>
      </c>
      <c r="C21" s="87"/>
      <c r="D21" s="75"/>
      <c r="E21" s="87"/>
      <c r="F21" s="90"/>
      <c r="G21" s="90"/>
      <c r="H21" s="90"/>
    </row>
    <row r="22" ht="22.5" customHeight="1">
      <c r="A22" s="94" t="s">
        <v>342</v>
      </c>
      <c r="B22" s="69" t="s">
        <v>343</v>
      </c>
      <c r="C22" s="75" t="s">
        <v>102</v>
      </c>
      <c r="D22" s="70" t="s">
        <v>166</v>
      </c>
      <c r="E22" s="70"/>
      <c r="F22" s="90"/>
      <c r="G22" s="90"/>
      <c r="H22" s="90"/>
    </row>
    <row r="23" ht="22.5" customHeight="1">
      <c r="A23" s="94" t="s">
        <v>348</v>
      </c>
      <c r="B23" s="69" t="s">
        <v>349</v>
      </c>
      <c r="C23" s="75" t="s">
        <v>102</v>
      </c>
      <c r="D23" s="70" t="s">
        <v>166</v>
      </c>
      <c r="E23" s="70"/>
      <c r="F23" s="90"/>
      <c r="G23" s="90"/>
      <c r="H23" s="90"/>
    </row>
    <row r="24" ht="22.5" customHeight="1">
      <c r="A24" s="93" t="s">
        <v>350</v>
      </c>
      <c r="B24" s="69" t="s">
        <v>343</v>
      </c>
      <c r="C24" s="75" t="s">
        <v>353</v>
      </c>
      <c r="D24" s="70" t="s">
        <v>166</v>
      </c>
      <c r="E24" s="70"/>
      <c r="F24" s="90"/>
      <c r="G24" s="90"/>
      <c r="H24" s="90"/>
    </row>
    <row r="25" ht="22.5" customHeight="1">
      <c r="A25" s="94" t="s">
        <v>354</v>
      </c>
      <c r="B25" s="69" t="s">
        <v>356</v>
      </c>
      <c r="C25" s="75" t="s">
        <v>13</v>
      </c>
      <c r="D25" s="70" t="s">
        <v>166</v>
      </c>
      <c r="E25" s="70"/>
      <c r="F25" s="90"/>
      <c r="G25" s="90"/>
      <c r="H25" s="90"/>
    </row>
    <row r="26" ht="22.5" customHeight="1">
      <c r="A26" s="94"/>
      <c r="B26" s="96"/>
      <c r="C26" s="87"/>
      <c r="D26" s="75"/>
      <c r="E26" s="87"/>
      <c r="F26" s="90"/>
      <c r="G26" s="90"/>
      <c r="H26" s="90"/>
    </row>
    <row r="27" ht="22.5" customHeight="1">
      <c r="A27" s="85" t="s">
        <v>361</v>
      </c>
      <c r="B27" s="52" t="s">
        <v>362</v>
      </c>
      <c r="C27" s="87"/>
      <c r="D27" s="75"/>
      <c r="E27" s="87"/>
      <c r="F27" s="90"/>
      <c r="G27" s="90"/>
      <c r="H27" s="90"/>
    </row>
    <row r="28" ht="22.5" customHeight="1">
      <c r="A28" s="94" t="s">
        <v>367</v>
      </c>
      <c r="B28" s="69" t="s">
        <v>368</v>
      </c>
      <c r="C28" s="69" t="s">
        <v>76</v>
      </c>
      <c r="D28" s="70" t="s">
        <v>166</v>
      </c>
      <c r="E28" s="70"/>
      <c r="F28" s="90"/>
      <c r="G28" s="90"/>
      <c r="H28" s="90"/>
    </row>
    <row r="29" ht="22.5" customHeight="1">
      <c r="A29" s="94" t="s">
        <v>372</v>
      </c>
      <c r="B29" s="69" t="s">
        <v>368</v>
      </c>
      <c r="C29" s="69" t="s">
        <v>76</v>
      </c>
      <c r="D29" s="70" t="s">
        <v>166</v>
      </c>
      <c r="E29" s="70"/>
      <c r="F29" s="90"/>
      <c r="G29" s="90"/>
      <c r="H29" s="90"/>
    </row>
    <row r="30" ht="22.5" customHeight="1">
      <c r="A30" s="94" t="s">
        <v>376</v>
      </c>
      <c r="B30" s="69"/>
      <c r="C30" s="75" t="s">
        <v>190</v>
      </c>
      <c r="D30" s="70" t="s">
        <v>166</v>
      </c>
      <c r="E30" s="70"/>
      <c r="F30" s="90"/>
      <c r="G30" s="90"/>
      <c r="H30" s="90"/>
    </row>
    <row r="31" ht="22.5" customHeight="1">
      <c r="A31" s="94" t="s">
        <v>379</v>
      </c>
      <c r="B31" s="69"/>
      <c r="C31" s="75" t="s">
        <v>78</v>
      </c>
      <c r="D31" s="70" t="s">
        <v>166</v>
      </c>
      <c r="E31" s="70"/>
      <c r="F31" s="90"/>
      <c r="G31" s="90"/>
      <c r="H31" s="90"/>
    </row>
    <row r="32" ht="22.5" customHeight="1">
      <c r="A32" s="94" t="s">
        <v>384</v>
      </c>
      <c r="B32" s="69"/>
      <c r="C32" s="69" t="s">
        <v>76</v>
      </c>
      <c r="D32" s="70" t="s">
        <v>166</v>
      </c>
      <c r="E32" s="70"/>
      <c r="F32" s="90"/>
      <c r="G32" s="90"/>
      <c r="H32" s="90"/>
    </row>
    <row r="33" ht="22.5" customHeight="1">
      <c r="A33" s="94"/>
      <c r="B33" s="69"/>
      <c r="C33" s="87"/>
      <c r="D33" s="75"/>
      <c r="E33" s="87"/>
      <c r="F33" s="90"/>
      <c r="G33" s="90"/>
      <c r="H33" s="90"/>
    </row>
    <row r="34" ht="22.5" customHeight="1">
      <c r="A34" s="85" t="s">
        <v>391</v>
      </c>
      <c r="B34" s="52" t="s">
        <v>392</v>
      </c>
      <c r="C34" s="87"/>
      <c r="D34" s="75"/>
      <c r="E34" s="87"/>
      <c r="F34" s="90"/>
      <c r="G34" s="90"/>
      <c r="H34" s="90"/>
    </row>
    <row r="35" ht="22.5" customHeight="1">
      <c r="A35" s="93" t="s">
        <v>395</v>
      </c>
      <c r="B35" s="69" t="s">
        <v>319</v>
      </c>
      <c r="C35" s="75" t="s">
        <v>160</v>
      </c>
      <c r="D35" s="70" t="s">
        <v>166</v>
      </c>
      <c r="E35" s="70"/>
      <c r="F35" s="90"/>
      <c r="G35" s="90"/>
      <c r="H35" s="90"/>
    </row>
    <row r="36" ht="22.5" customHeight="1">
      <c r="A36" s="94" t="s">
        <v>399</v>
      </c>
      <c r="B36" s="69" t="s">
        <v>400</v>
      </c>
      <c r="C36" s="75" t="s">
        <v>13</v>
      </c>
      <c r="D36" s="70" t="s">
        <v>166</v>
      </c>
      <c r="E36" s="70"/>
      <c r="F36" s="90"/>
      <c r="G36" s="90"/>
      <c r="H36" s="90"/>
    </row>
    <row r="37" ht="22.5" customHeight="1">
      <c r="A37" s="94" t="s">
        <v>402</v>
      </c>
      <c r="B37" s="69" t="s">
        <v>403</v>
      </c>
      <c r="C37" s="75" t="s">
        <v>198</v>
      </c>
      <c r="D37" s="70" t="s">
        <v>166</v>
      </c>
      <c r="E37" s="70"/>
      <c r="F37" s="90"/>
      <c r="G37" s="90"/>
      <c r="H37" s="90"/>
    </row>
    <row r="38" ht="22.5" customHeight="1">
      <c r="A38" s="93" t="s">
        <v>407</v>
      </c>
      <c r="B38" s="69" t="s">
        <v>408</v>
      </c>
      <c r="C38" s="75" t="s">
        <v>102</v>
      </c>
      <c r="D38" s="70" t="s">
        <v>166</v>
      </c>
      <c r="E38" s="70"/>
      <c r="F38" s="90"/>
      <c r="G38" s="90"/>
      <c r="H38" s="90"/>
    </row>
    <row r="39" ht="22.5" customHeight="1">
      <c r="A39" s="94"/>
      <c r="B39" s="69"/>
      <c r="C39" s="87"/>
      <c r="D39" s="75"/>
      <c r="E39" s="87"/>
      <c r="F39" s="90"/>
      <c r="G39" s="90"/>
      <c r="H39" s="90"/>
    </row>
    <row r="40" ht="22.5" customHeight="1">
      <c r="A40" s="85" t="s">
        <v>412</v>
      </c>
      <c r="B40" s="52" t="s">
        <v>413</v>
      </c>
      <c r="C40" s="87"/>
      <c r="D40" s="75"/>
      <c r="E40" s="87"/>
      <c r="F40" s="90"/>
      <c r="G40" s="90"/>
      <c r="H40" s="90"/>
    </row>
    <row r="41" ht="22.5" customHeight="1">
      <c r="A41" s="94" t="s">
        <v>416</v>
      </c>
      <c r="B41" s="69" t="s">
        <v>417</v>
      </c>
      <c r="C41" s="69" t="s">
        <v>76</v>
      </c>
      <c r="D41" s="70" t="s">
        <v>166</v>
      </c>
      <c r="E41" s="70"/>
      <c r="F41" s="90"/>
      <c r="G41" s="90"/>
      <c r="H41" s="90"/>
    </row>
    <row r="42" ht="22.5" customHeight="1">
      <c r="A42" s="94" t="s">
        <v>420</v>
      </c>
      <c r="B42" s="69" t="s">
        <v>417</v>
      </c>
      <c r="C42" s="69" t="s">
        <v>76</v>
      </c>
      <c r="D42" s="70" t="s">
        <v>166</v>
      </c>
      <c r="E42" s="70"/>
      <c r="F42" s="90"/>
      <c r="G42" s="90"/>
      <c r="H42" s="90"/>
    </row>
    <row r="43" ht="22.5" customHeight="1">
      <c r="A43" s="94" t="s">
        <v>425</v>
      </c>
      <c r="B43" s="69" t="s">
        <v>417</v>
      </c>
      <c r="C43" s="75" t="s">
        <v>427</v>
      </c>
      <c r="D43" s="70" t="s">
        <v>166</v>
      </c>
      <c r="E43" s="70"/>
      <c r="F43" s="90"/>
      <c r="G43" s="90"/>
      <c r="H43" s="90"/>
    </row>
    <row r="44" ht="22.5" customHeight="1">
      <c r="A44" s="94" t="s">
        <v>430</v>
      </c>
      <c r="B44" s="69" t="s">
        <v>134</v>
      </c>
      <c r="C44" s="75" t="s">
        <v>106</v>
      </c>
      <c r="D44" s="70" t="s">
        <v>166</v>
      </c>
      <c r="E44" s="70"/>
      <c r="F44" s="90"/>
      <c r="G44" s="90"/>
      <c r="H44" s="90"/>
    </row>
    <row r="45" ht="22.5" customHeight="1">
      <c r="A45" s="94" t="s">
        <v>436</v>
      </c>
      <c r="B45" s="69" t="s">
        <v>417</v>
      </c>
      <c r="C45" s="75" t="s">
        <v>264</v>
      </c>
      <c r="D45" s="70" t="s">
        <v>166</v>
      </c>
      <c r="E45" s="70"/>
      <c r="F45" s="90"/>
      <c r="G45" s="90"/>
      <c r="H45" s="90"/>
    </row>
    <row r="46" ht="22.5" customHeight="1">
      <c r="A46" s="94"/>
      <c r="B46" s="69"/>
      <c r="C46" s="87"/>
      <c r="D46" s="75"/>
      <c r="E46" s="87"/>
      <c r="F46" s="90"/>
      <c r="G46" s="90"/>
      <c r="H46" s="90"/>
    </row>
    <row r="47" ht="22.5" customHeight="1">
      <c r="A47" s="85" t="s">
        <v>441</v>
      </c>
      <c r="B47" s="52" t="s">
        <v>442</v>
      </c>
      <c r="C47" s="87"/>
      <c r="D47" s="75"/>
      <c r="E47" s="87"/>
      <c r="F47" s="90"/>
      <c r="G47" s="90"/>
      <c r="H47" s="90"/>
    </row>
    <row r="48" ht="22.5" customHeight="1">
      <c r="A48" s="94" t="s">
        <v>445</v>
      </c>
      <c r="B48" s="69" t="s">
        <v>446</v>
      </c>
      <c r="C48" s="75" t="s">
        <v>13</v>
      </c>
      <c r="D48" s="70" t="s">
        <v>166</v>
      </c>
      <c r="E48" s="70"/>
      <c r="F48" s="90"/>
      <c r="G48" s="90"/>
      <c r="H48" s="90"/>
    </row>
    <row r="49" ht="22.5" customHeight="1">
      <c r="A49" s="94" t="s">
        <v>452</v>
      </c>
      <c r="B49" s="69" t="s">
        <v>446</v>
      </c>
      <c r="C49" s="75" t="s">
        <v>176</v>
      </c>
      <c r="D49" s="70" t="s">
        <v>166</v>
      </c>
      <c r="E49" s="70"/>
      <c r="F49" s="90"/>
      <c r="G49" s="90"/>
      <c r="H49" s="90"/>
    </row>
    <row r="50" ht="22.5" customHeight="1">
      <c r="A50" s="94" t="s">
        <v>455</v>
      </c>
      <c r="B50" s="69" t="s">
        <v>446</v>
      </c>
      <c r="C50" s="75" t="s">
        <v>456</v>
      </c>
      <c r="D50" s="70" t="s">
        <v>166</v>
      </c>
      <c r="E50" s="70"/>
      <c r="F50" s="90"/>
      <c r="G50" s="90"/>
      <c r="H50" s="90"/>
    </row>
    <row r="51" ht="22.5" customHeight="1">
      <c r="A51" s="94" t="s">
        <v>459</v>
      </c>
      <c r="B51" s="69" t="s">
        <v>446</v>
      </c>
      <c r="C51" s="75" t="s">
        <v>13</v>
      </c>
      <c r="D51" s="70" t="s">
        <v>166</v>
      </c>
      <c r="E51" s="70"/>
      <c r="F51" s="90"/>
      <c r="G51" s="90"/>
      <c r="H51" s="90"/>
    </row>
    <row r="52" ht="22.5" customHeight="1">
      <c r="A52" s="94" t="s">
        <v>462</v>
      </c>
      <c r="B52" s="69" t="s">
        <v>446</v>
      </c>
      <c r="C52" s="75" t="s">
        <v>198</v>
      </c>
      <c r="D52" s="70" t="s">
        <v>166</v>
      </c>
      <c r="E52" s="70"/>
      <c r="F52" s="90"/>
      <c r="G52" s="90"/>
      <c r="H52" s="90"/>
    </row>
    <row r="53" ht="22.5" customHeight="1">
      <c r="A53" s="93" t="s">
        <v>465</v>
      </c>
      <c r="B53" s="69" t="s">
        <v>446</v>
      </c>
      <c r="C53" s="75" t="s">
        <v>91</v>
      </c>
      <c r="D53" s="70" t="s">
        <v>166</v>
      </c>
      <c r="E53" s="70"/>
      <c r="F53" s="90"/>
      <c r="G53" s="90"/>
      <c r="H53" s="90"/>
    </row>
    <row r="54" ht="22.5" customHeight="1">
      <c r="A54" s="94" t="s">
        <v>467</v>
      </c>
      <c r="B54" s="69" t="s">
        <v>446</v>
      </c>
      <c r="C54" s="75" t="s">
        <v>198</v>
      </c>
      <c r="D54" s="70" t="s">
        <v>166</v>
      </c>
      <c r="E54" s="70"/>
      <c r="F54" s="90"/>
      <c r="G54" s="90"/>
      <c r="H54" s="90"/>
    </row>
    <row r="55" ht="22.5" customHeight="1">
      <c r="A55" s="94" t="s">
        <v>469</v>
      </c>
      <c r="B55" s="69" t="s">
        <v>446</v>
      </c>
      <c r="C55" s="69" t="s">
        <v>76</v>
      </c>
      <c r="D55" s="70" t="s">
        <v>166</v>
      </c>
      <c r="E55" s="70"/>
      <c r="F55" s="90"/>
      <c r="G55" s="90"/>
      <c r="H55" s="90"/>
    </row>
    <row r="56" ht="22.5" customHeight="1">
      <c r="A56" s="94" t="s">
        <v>473</v>
      </c>
      <c r="B56" s="69" t="s">
        <v>134</v>
      </c>
      <c r="C56" s="75" t="s">
        <v>475</v>
      </c>
      <c r="D56" s="70" t="s">
        <v>166</v>
      </c>
      <c r="E56" s="70"/>
      <c r="F56" s="90"/>
      <c r="G56" s="90"/>
      <c r="H56" s="90"/>
    </row>
    <row r="57" ht="22.5" customHeight="1">
      <c r="A57" s="94" t="s">
        <v>477</v>
      </c>
      <c r="B57" s="69" t="s">
        <v>134</v>
      </c>
      <c r="C57" s="75" t="s">
        <v>475</v>
      </c>
      <c r="D57" s="70" t="s">
        <v>166</v>
      </c>
      <c r="E57" s="70"/>
      <c r="F57" s="90"/>
      <c r="G57" s="90"/>
      <c r="H57" s="90"/>
    </row>
    <row r="58" ht="22.5" customHeight="1">
      <c r="A58" s="94"/>
      <c r="B58" s="69"/>
      <c r="C58" s="87"/>
      <c r="D58" s="75"/>
      <c r="E58" s="87"/>
      <c r="F58" s="90"/>
      <c r="G58" s="90"/>
      <c r="H58" s="90"/>
    </row>
    <row r="59" ht="22.5" customHeight="1">
      <c r="A59" s="85" t="s">
        <v>483</v>
      </c>
      <c r="B59" s="52" t="s">
        <v>484</v>
      </c>
      <c r="C59" s="87"/>
      <c r="D59" s="75"/>
      <c r="E59" s="87"/>
      <c r="F59" s="90"/>
      <c r="G59" s="90"/>
      <c r="H59" s="90"/>
    </row>
    <row r="60" ht="22.5" customHeight="1">
      <c r="A60" s="94" t="s">
        <v>487</v>
      </c>
      <c r="B60" s="69" t="s">
        <v>488</v>
      </c>
      <c r="C60" s="75" t="s">
        <v>456</v>
      </c>
      <c r="D60" s="70" t="s">
        <v>166</v>
      </c>
      <c r="E60" s="70"/>
      <c r="F60" s="90"/>
      <c r="G60" s="90"/>
      <c r="H60" s="90"/>
    </row>
    <row r="61" ht="22.5" customHeight="1">
      <c r="A61" s="94" t="s">
        <v>491</v>
      </c>
      <c r="B61" s="69" t="s">
        <v>488</v>
      </c>
      <c r="C61" s="75" t="s">
        <v>10</v>
      </c>
      <c r="D61" s="70" t="s">
        <v>166</v>
      </c>
      <c r="E61" s="70"/>
      <c r="F61" s="90"/>
      <c r="G61" s="90"/>
      <c r="H61" s="90"/>
    </row>
    <row r="62" ht="22.5" customHeight="1">
      <c r="A62" s="94" t="s">
        <v>493</v>
      </c>
      <c r="B62" s="69" t="s">
        <v>488</v>
      </c>
      <c r="C62" s="75" t="s">
        <v>13</v>
      </c>
      <c r="D62" s="70" t="s">
        <v>166</v>
      </c>
      <c r="E62" s="70"/>
      <c r="F62" s="90"/>
      <c r="G62" s="90"/>
      <c r="H62" s="90"/>
    </row>
    <row r="63" ht="22.5" customHeight="1">
      <c r="A63" s="94" t="s">
        <v>495</v>
      </c>
      <c r="B63" s="69" t="s">
        <v>488</v>
      </c>
      <c r="C63" s="75" t="s">
        <v>496</v>
      </c>
      <c r="D63" s="70" t="s">
        <v>166</v>
      </c>
      <c r="E63" s="70"/>
      <c r="F63" s="90"/>
      <c r="G63" s="90"/>
      <c r="H63" s="90"/>
    </row>
    <row r="64" ht="22.5" customHeight="1">
      <c r="A64" s="94" t="s">
        <v>498</v>
      </c>
      <c r="B64" s="69" t="s">
        <v>488</v>
      </c>
      <c r="C64" s="75" t="s">
        <v>91</v>
      </c>
      <c r="D64" s="70" t="s">
        <v>166</v>
      </c>
      <c r="E64" s="70"/>
      <c r="F64" s="90"/>
      <c r="G64" s="90"/>
      <c r="H64" s="90"/>
    </row>
    <row r="65" ht="22.5" customHeight="1">
      <c r="A65" s="94" t="s">
        <v>500</v>
      </c>
      <c r="B65" s="69" t="s">
        <v>488</v>
      </c>
      <c r="C65" s="75" t="s">
        <v>13</v>
      </c>
      <c r="D65" s="70" t="s">
        <v>166</v>
      </c>
      <c r="E65" s="70"/>
      <c r="F65" s="90"/>
      <c r="G65" s="90"/>
      <c r="H65" s="90"/>
    </row>
    <row r="66" ht="22.5" customHeight="1">
      <c r="A66" s="94" t="s">
        <v>501</v>
      </c>
      <c r="B66" s="69" t="s">
        <v>488</v>
      </c>
      <c r="C66" s="75" t="s">
        <v>324</v>
      </c>
      <c r="D66" s="70" t="s">
        <v>166</v>
      </c>
      <c r="E66" s="70"/>
      <c r="F66" s="90"/>
      <c r="G66" s="90"/>
      <c r="H66" s="90"/>
    </row>
    <row r="67" ht="22.5" customHeight="1">
      <c r="A67" s="94" t="s">
        <v>503</v>
      </c>
      <c r="B67" s="69" t="s">
        <v>488</v>
      </c>
      <c r="C67" s="75" t="s">
        <v>504</v>
      </c>
      <c r="D67" s="70" t="s">
        <v>166</v>
      </c>
      <c r="E67" s="70"/>
      <c r="F67" s="90"/>
      <c r="G67" s="90"/>
      <c r="H67" s="90"/>
    </row>
    <row r="68" ht="22.5" customHeight="1">
      <c r="A68" s="94" t="s">
        <v>507</v>
      </c>
      <c r="B68" s="69" t="s">
        <v>488</v>
      </c>
      <c r="C68" s="75" t="s">
        <v>504</v>
      </c>
      <c r="D68" s="70" t="s">
        <v>166</v>
      </c>
      <c r="E68" s="70"/>
      <c r="F68" s="90"/>
      <c r="G68" s="90"/>
      <c r="H68" s="90"/>
    </row>
    <row r="69" ht="22.5" customHeight="1">
      <c r="A69" s="94" t="s">
        <v>509</v>
      </c>
      <c r="B69" s="69" t="s">
        <v>134</v>
      </c>
      <c r="C69" s="75" t="s">
        <v>475</v>
      </c>
      <c r="D69" s="70" t="s">
        <v>166</v>
      </c>
      <c r="E69" s="70"/>
      <c r="F69" s="90"/>
      <c r="G69" s="90"/>
      <c r="H69" s="90"/>
    </row>
    <row r="70" ht="22.5" customHeight="1">
      <c r="A70" s="94" t="s">
        <v>512</v>
      </c>
      <c r="B70" s="69" t="s">
        <v>134</v>
      </c>
      <c r="C70" s="75" t="s">
        <v>135</v>
      </c>
      <c r="D70" s="70" t="s">
        <v>166</v>
      </c>
      <c r="E70" s="70"/>
      <c r="F70" s="90"/>
      <c r="G70" s="90"/>
      <c r="H70" s="90"/>
    </row>
    <row r="71" ht="22.5" customHeight="1">
      <c r="A71" s="94"/>
      <c r="B71" s="69"/>
      <c r="C71" s="87"/>
      <c r="D71" s="75"/>
      <c r="E71" s="87"/>
      <c r="F71" s="90"/>
      <c r="G71" s="90"/>
      <c r="H71" s="90"/>
    </row>
    <row r="72" ht="22.5" customHeight="1">
      <c r="A72" s="85" t="s">
        <v>516</v>
      </c>
      <c r="B72" s="52" t="s">
        <v>518</v>
      </c>
      <c r="C72" s="87"/>
      <c r="D72" s="75"/>
      <c r="E72" s="87"/>
      <c r="F72" s="90"/>
      <c r="G72" s="90"/>
      <c r="H72" s="90"/>
    </row>
    <row r="73" ht="22.5" customHeight="1">
      <c r="A73" s="94" t="s">
        <v>519</v>
      </c>
      <c r="B73" s="69" t="s">
        <v>488</v>
      </c>
      <c r="C73" s="75" t="s">
        <v>93</v>
      </c>
      <c r="D73" s="70" t="s">
        <v>166</v>
      </c>
      <c r="E73" s="70"/>
      <c r="F73" s="90"/>
      <c r="G73" s="90"/>
      <c r="H73" s="90"/>
    </row>
    <row r="74" ht="22.5" customHeight="1">
      <c r="A74" s="94" t="s">
        <v>522</v>
      </c>
      <c r="B74" s="69" t="s">
        <v>488</v>
      </c>
      <c r="C74" s="75" t="s">
        <v>93</v>
      </c>
      <c r="D74" s="70" t="s">
        <v>166</v>
      </c>
      <c r="E74" s="70"/>
      <c r="F74" s="90"/>
      <c r="G74" s="90"/>
      <c r="H74" s="90"/>
    </row>
    <row r="75" ht="22.5" customHeight="1">
      <c r="A75" s="94" t="s">
        <v>525</v>
      </c>
      <c r="B75" s="69" t="s">
        <v>488</v>
      </c>
      <c r="C75" s="75" t="s">
        <v>93</v>
      </c>
      <c r="D75" s="70" t="s">
        <v>166</v>
      </c>
      <c r="E75" s="70"/>
      <c r="F75" s="90"/>
      <c r="G75" s="90"/>
      <c r="H75" s="90"/>
    </row>
  </sheetData>
  <mergeCells count="1">
    <mergeCell ref="B1:H1"/>
  </mergeCells>
  <dataValidations>
    <dataValidation type="list" allowBlank="1" showErrorMessage="1" sqref="C6:C8 C11:C19 C22:C25 C28:C32 C35:C38 C41:C45 C48:C57 C60:C70 C73:C75">
      <formula1>"Experience,Expertise,Authority,Trust,Foundational,Reputation"</formula1>
    </dataValidation>
    <dataValidation type="list" allowBlank="1" showErrorMessage="1" sqref="D6:D8 D11:D19 D22:D25 D28:D32 D35:D38 D41:D45 D48:D57 D60:D70 D73:D75">
      <formula1>"Brand (Off-Site),Person,Page,Website,Website Owner/ Organization,Product / Service,Search Results"</formula1>
    </dataValidation>
    <dataValidation type="list" allowBlank="1" showErrorMessage="1" sqref="E6:E8 E11:E19 E22:E25 E28:E32 E35:E38 E41:E45 E48:E57 E60:E70 E73:E75">
      <formula1>"Highest,High,Medium,Low,Lowest,n/a"</formula1>
    </dataValidation>
  </dataValidations>
  <drawing r:id="rId2"/>
  <legacy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38"/>
    <col customWidth="1" min="2" max="3" width="35.63"/>
  </cols>
  <sheetData>
    <row r="1">
      <c r="A1" s="1" t="s">
        <v>89</v>
      </c>
      <c r="B1" s="2"/>
      <c r="C1" s="4"/>
    </row>
    <row r="2">
      <c r="A2" s="76"/>
      <c r="B2" s="76"/>
      <c r="C2" s="76"/>
    </row>
    <row r="3">
      <c r="A3" s="6" t="s">
        <v>94</v>
      </c>
      <c r="B3" s="7"/>
      <c r="C3" s="8"/>
    </row>
    <row r="4">
      <c r="A4" s="76"/>
      <c r="B4" s="76"/>
      <c r="C4" s="76"/>
    </row>
    <row r="5">
      <c r="A5" s="59" t="s">
        <v>96</v>
      </c>
      <c r="B5" s="59" t="s">
        <v>97</v>
      </c>
      <c r="C5" s="12" t="s">
        <v>98</v>
      </c>
    </row>
    <row r="6">
      <c r="A6" s="77" t="s">
        <v>99</v>
      </c>
      <c r="B6" s="78">
        <v>1.0</v>
      </c>
      <c r="C6" s="79" t="s">
        <v>104</v>
      </c>
    </row>
    <row r="7">
      <c r="A7" s="77" t="s">
        <v>105</v>
      </c>
      <c r="B7" s="77">
        <v>25.0</v>
      </c>
      <c r="C7" s="79" t="s">
        <v>107</v>
      </c>
    </row>
    <row r="8">
      <c r="A8" s="77" t="s">
        <v>108</v>
      </c>
      <c r="B8" s="77">
        <v>50.0</v>
      </c>
      <c r="C8" s="79" t="s">
        <v>109</v>
      </c>
    </row>
    <row r="9">
      <c r="A9" s="77" t="s">
        <v>110</v>
      </c>
      <c r="B9" s="77">
        <v>75.0</v>
      </c>
      <c r="C9" s="79" t="s">
        <v>111</v>
      </c>
    </row>
    <row r="10">
      <c r="A10" s="77" t="s">
        <v>113</v>
      </c>
      <c r="B10" s="77">
        <v>100.0</v>
      </c>
      <c r="C10" s="79" t="s">
        <v>114</v>
      </c>
    </row>
    <row r="11">
      <c r="A11" s="76"/>
      <c r="B11" s="76"/>
      <c r="C11" s="76"/>
    </row>
    <row r="12">
      <c r="A12" s="6" t="s">
        <v>116</v>
      </c>
      <c r="B12" s="7"/>
      <c r="C12" s="8"/>
    </row>
    <row r="13">
      <c r="A13" s="76"/>
      <c r="B13" s="76"/>
      <c r="C13" s="76"/>
    </row>
    <row r="14">
      <c r="A14" s="12" t="s">
        <v>55</v>
      </c>
      <c r="B14" s="12" t="s">
        <v>117</v>
      </c>
      <c r="C14" s="12" t="s">
        <v>118</v>
      </c>
    </row>
    <row r="15">
      <c r="A15" s="79" t="s">
        <v>10</v>
      </c>
      <c r="B15" s="79" t="s">
        <v>120</v>
      </c>
      <c r="C15" s="79" t="s">
        <v>121</v>
      </c>
    </row>
    <row r="16">
      <c r="A16" s="79" t="s">
        <v>11</v>
      </c>
      <c r="B16" s="79" t="s">
        <v>122</v>
      </c>
      <c r="C16" s="79" t="s">
        <v>123</v>
      </c>
    </row>
    <row r="17">
      <c r="A17" s="79" t="s">
        <v>12</v>
      </c>
      <c r="B17" s="79" t="s">
        <v>125</v>
      </c>
      <c r="C17" s="79" t="s">
        <v>126</v>
      </c>
    </row>
    <row r="18">
      <c r="A18" s="79" t="s">
        <v>13</v>
      </c>
      <c r="B18" s="79" t="s">
        <v>127</v>
      </c>
      <c r="C18" s="79" t="s">
        <v>128</v>
      </c>
    </row>
    <row r="19">
      <c r="A19" s="76"/>
      <c r="B19" s="76"/>
      <c r="C19" s="76"/>
    </row>
  </sheetData>
  <mergeCells count="3">
    <mergeCell ref="A1:C1"/>
    <mergeCell ref="A3:C3"/>
    <mergeCell ref="A12:C12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38"/>
    <col customWidth="1" min="2" max="2" width="45.88"/>
    <col customWidth="1" min="3" max="3" width="35.63"/>
    <col customWidth="1" min="4" max="4" width="37.5"/>
  </cols>
  <sheetData>
    <row r="1">
      <c r="A1" s="84" t="s">
        <v>137</v>
      </c>
      <c r="B1" s="2"/>
      <c r="C1" s="2"/>
      <c r="D1" s="4"/>
    </row>
    <row r="2">
      <c r="A2" s="76"/>
      <c r="B2" s="76"/>
      <c r="C2" s="76"/>
      <c r="D2" s="86"/>
    </row>
    <row r="3">
      <c r="A3" s="6" t="s">
        <v>140</v>
      </c>
      <c r="B3" s="7"/>
      <c r="C3" s="7"/>
      <c r="D3" s="8"/>
    </row>
    <row r="4">
      <c r="A4" s="76"/>
      <c r="B4" s="76"/>
      <c r="C4" s="76"/>
      <c r="D4" s="86"/>
    </row>
    <row r="5">
      <c r="A5" s="59" t="s">
        <v>141</v>
      </c>
      <c r="B5" s="59" t="s">
        <v>142</v>
      </c>
      <c r="C5" s="59" t="s">
        <v>144</v>
      </c>
      <c r="D5" s="88" t="s">
        <v>145</v>
      </c>
    </row>
    <row r="6">
      <c r="A6" s="89" t="s">
        <v>146</v>
      </c>
      <c r="B6" s="89" t="s">
        <v>148</v>
      </c>
      <c r="C6" s="91" t="s">
        <v>149</v>
      </c>
      <c r="D6" s="92" t="s">
        <v>154</v>
      </c>
    </row>
    <row r="7">
      <c r="A7" s="89" t="s">
        <v>146</v>
      </c>
      <c r="B7" s="89" t="s">
        <v>155</v>
      </c>
      <c r="C7" s="91" t="s">
        <v>156</v>
      </c>
      <c r="D7" s="92" t="s">
        <v>162</v>
      </c>
    </row>
    <row r="8">
      <c r="A8" s="89" t="s">
        <v>163</v>
      </c>
      <c r="B8" s="89" t="s">
        <v>164</v>
      </c>
      <c r="C8" s="91" t="s">
        <v>165</v>
      </c>
      <c r="D8" s="92" t="s">
        <v>168</v>
      </c>
    </row>
    <row r="9">
      <c r="A9" s="89" t="s">
        <v>163</v>
      </c>
      <c r="B9" s="89" t="s">
        <v>170</v>
      </c>
      <c r="C9" s="91" t="s">
        <v>171</v>
      </c>
      <c r="D9" s="92" t="s">
        <v>174</v>
      </c>
    </row>
    <row r="10">
      <c r="A10" s="95" t="s">
        <v>163</v>
      </c>
      <c r="B10" s="95" t="s">
        <v>177</v>
      </c>
      <c r="C10" s="91" t="s">
        <v>178</v>
      </c>
      <c r="D10" s="92" t="s">
        <v>181</v>
      </c>
    </row>
    <row r="11">
      <c r="A11" s="67" t="s">
        <v>182</v>
      </c>
      <c r="B11" s="67" t="s">
        <v>183</v>
      </c>
      <c r="C11" s="97" t="s">
        <v>184</v>
      </c>
      <c r="D11" s="92" t="s">
        <v>185</v>
      </c>
    </row>
    <row r="12">
      <c r="A12" s="67" t="s">
        <v>163</v>
      </c>
      <c r="B12" s="67" t="s">
        <v>187</v>
      </c>
      <c r="C12" s="97" t="s">
        <v>188</v>
      </c>
      <c r="D12" s="92" t="s">
        <v>193</v>
      </c>
    </row>
    <row r="13">
      <c r="A13" s="67" t="s">
        <v>163</v>
      </c>
      <c r="B13" s="67" t="s">
        <v>195</v>
      </c>
      <c r="C13" s="97" t="s">
        <v>196</v>
      </c>
      <c r="D13" s="92" t="s">
        <v>200</v>
      </c>
    </row>
    <row r="14">
      <c r="A14" s="67" t="s">
        <v>163</v>
      </c>
      <c r="B14" s="67" t="s">
        <v>202</v>
      </c>
      <c r="C14" s="97" t="s">
        <v>203</v>
      </c>
      <c r="D14" s="92" t="s">
        <v>207</v>
      </c>
    </row>
    <row r="15">
      <c r="A15" s="67" t="s">
        <v>182</v>
      </c>
      <c r="B15" s="67" t="s">
        <v>208</v>
      </c>
      <c r="C15" s="97" t="s">
        <v>209</v>
      </c>
      <c r="D15" s="92" t="s">
        <v>216</v>
      </c>
    </row>
    <row r="16">
      <c r="A16" s="76"/>
      <c r="B16" s="76"/>
      <c r="C16" s="76"/>
      <c r="D16" s="86"/>
    </row>
    <row r="17">
      <c r="A17" s="6" t="s">
        <v>217</v>
      </c>
      <c r="B17" s="7"/>
      <c r="C17" s="8"/>
      <c r="D17" s="86"/>
    </row>
    <row r="18">
      <c r="A18" s="76"/>
      <c r="B18" s="76"/>
      <c r="C18" s="76"/>
      <c r="D18" s="86"/>
    </row>
    <row r="19">
      <c r="A19" s="99" t="s">
        <v>219</v>
      </c>
      <c r="D19" s="86"/>
    </row>
    <row r="20">
      <c r="A20" s="100" t="s">
        <v>221</v>
      </c>
      <c r="D20" s="86"/>
    </row>
    <row r="21">
      <c r="A21" s="76"/>
      <c r="B21" s="76"/>
      <c r="C21" s="76"/>
      <c r="D21" s="86"/>
    </row>
    <row r="22">
      <c r="A22" s="12" t="s">
        <v>223</v>
      </c>
      <c r="B22" s="12" t="s">
        <v>225</v>
      </c>
      <c r="C22" s="12" t="s">
        <v>226</v>
      </c>
      <c r="D22" s="86"/>
    </row>
    <row r="23">
      <c r="A23" s="60" t="s">
        <v>228</v>
      </c>
      <c r="B23" s="60" t="s">
        <v>229</v>
      </c>
      <c r="C23" s="101" t="s">
        <v>231</v>
      </c>
      <c r="D23" s="86"/>
    </row>
    <row r="24">
      <c r="A24" s="60" t="s">
        <v>232</v>
      </c>
      <c r="B24" s="60" t="s">
        <v>233</v>
      </c>
      <c r="C24" s="101" t="s">
        <v>234</v>
      </c>
      <c r="D24" s="86"/>
    </row>
    <row r="25">
      <c r="A25" s="60" t="s">
        <v>235</v>
      </c>
      <c r="B25" s="60" t="s">
        <v>236</v>
      </c>
      <c r="C25" s="101" t="s">
        <v>237</v>
      </c>
      <c r="D25" s="86"/>
    </row>
    <row r="26">
      <c r="A26" s="60" t="s">
        <v>238</v>
      </c>
      <c r="B26" s="60" t="s">
        <v>239</v>
      </c>
      <c r="C26" s="101" t="s">
        <v>240</v>
      </c>
      <c r="D26" s="86"/>
    </row>
    <row r="27">
      <c r="A27" s="60" t="s">
        <v>241</v>
      </c>
      <c r="B27" s="60" t="s">
        <v>242</v>
      </c>
      <c r="C27" s="101" t="s">
        <v>243</v>
      </c>
      <c r="D27" s="86"/>
    </row>
    <row r="28">
      <c r="A28" s="102">
        <v>2.5</v>
      </c>
      <c r="B28" s="60" t="s">
        <v>244</v>
      </c>
      <c r="C28" s="101" t="s">
        <v>245</v>
      </c>
      <c r="D28" s="86"/>
    </row>
    <row r="29">
      <c r="A29" s="60" t="s">
        <v>246</v>
      </c>
      <c r="B29" s="60" t="s">
        <v>247</v>
      </c>
      <c r="C29" s="101" t="s">
        <v>248</v>
      </c>
      <c r="D29" s="86"/>
    </row>
    <row r="30">
      <c r="A30" s="60" t="s">
        <v>249</v>
      </c>
      <c r="B30" s="60" t="s">
        <v>252</v>
      </c>
      <c r="C30" s="101" t="s">
        <v>253</v>
      </c>
      <c r="D30" s="86"/>
    </row>
    <row r="31">
      <c r="A31" s="60" t="s">
        <v>254</v>
      </c>
      <c r="B31" s="60" t="s">
        <v>255</v>
      </c>
      <c r="C31" s="101" t="s">
        <v>256</v>
      </c>
      <c r="D31" s="86"/>
    </row>
    <row r="32">
      <c r="A32" s="60" t="s">
        <v>257</v>
      </c>
      <c r="B32" s="60" t="s">
        <v>258</v>
      </c>
      <c r="C32" s="101" t="s">
        <v>260</v>
      </c>
      <c r="D32" s="86"/>
    </row>
    <row r="33">
      <c r="A33" s="60" t="s">
        <v>261</v>
      </c>
      <c r="B33" s="60" t="s">
        <v>262</v>
      </c>
      <c r="C33" s="101" t="s">
        <v>263</v>
      </c>
      <c r="D33" s="86"/>
    </row>
    <row r="34">
      <c r="A34" s="60" t="s">
        <v>265</v>
      </c>
      <c r="B34" s="60" t="s">
        <v>266</v>
      </c>
      <c r="C34" s="101" t="s">
        <v>268</v>
      </c>
      <c r="D34" s="86"/>
    </row>
    <row r="35">
      <c r="A35" s="60" t="s">
        <v>269</v>
      </c>
      <c r="B35" s="60" t="s">
        <v>270</v>
      </c>
      <c r="C35" s="101" t="s">
        <v>271</v>
      </c>
      <c r="D35" s="86"/>
    </row>
    <row r="36">
      <c r="A36" s="60" t="s">
        <v>273</v>
      </c>
      <c r="B36" s="60" t="s">
        <v>274</v>
      </c>
      <c r="C36" s="101" t="s">
        <v>275</v>
      </c>
      <c r="D36" s="86"/>
    </row>
    <row r="37">
      <c r="A37" s="60" t="s">
        <v>276</v>
      </c>
      <c r="B37" s="60" t="s">
        <v>277</v>
      </c>
      <c r="C37" s="101" t="s">
        <v>278</v>
      </c>
      <c r="D37" s="86"/>
    </row>
    <row r="38">
      <c r="A38" s="60" t="s">
        <v>279</v>
      </c>
      <c r="B38" s="60" t="s">
        <v>280</v>
      </c>
      <c r="C38" s="101" t="s">
        <v>281</v>
      </c>
      <c r="D38" s="86"/>
    </row>
    <row r="39">
      <c r="A39" s="60" t="s">
        <v>282</v>
      </c>
      <c r="B39" s="60" t="s">
        <v>283</v>
      </c>
      <c r="C39" s="101" t="s">
        <v>284</v>
      </c>
      <c r="D39" s="86"/>
    </row>
    <row r="40">
      <c r="A40" s="60" t="s">
        <v>285</v>
      </c>
      <c r="B40" s="60" t="s">
        <v>286</v>
      </c>
      <c r="C40" s="101" t="s">
        <v>287</v>
      </c>
      <c r="D40" s="86"/>
    </row>
    <row r="41">
      <c r="A41" s="60" t="s">
        <v>288</v>
      </c>
      <c r="B41" s="60" t="s">
        <v>289</v>
      </c>
      <c r="C41" s="101" t="s">
        <v>290</v>
      </c>
      <c r="D41" s="86"/>
    </row>
    <row r="42">
      <c r="A42" s="60" t="s">
        <v>291</v>
      </c>
      <c r="B42" s="60" t="s">
        <v>292</v>
      </c>
      <c r="C42" s="101" t="s">
        <v>293</v>
      </c>
      <c r="D42" s="86"/>
    </row>
    <row r="43">
      <c r="A43" s="60" t="s">
        <v>294</v>
      </c>
      <c r="B43" s="60" t="s">
        <v>295</v>
      </c>
      <c r="C43" s="101" t="s">
        <v>297</v>
      </c>
      <c r="D43" s="86"/>
    </row>
    <row r="44">
      <c r="A44" s="60" t="s">
        <v>298</v>
      </c>
      <c r="B44" s="60" t="s">
        <v>299</v>
      </c>
      <c r="C44" s="101" t="s">
        <v>300</v>
      </c>
      <c r="D44" s="86"/>
    </row>
    <row r="45">
      <c r="A45" s="60" t="s">
        <v>301</v>
      </c>
      <c r="B45" s="60" t="s">
        <v>302</v>
      </c>
      <c r="C45" s="101" t="s">
        <v>303</v>
      </c>
      <c r="D45" s="86"/>
    </row>
    <row r="46">
      <c r="A46" s="60" t="s">
        <v>305</v>
      </c>
      <c r="B46" s="60" t="s">
        <v>306</v>
      </c>
      <c r="C46" s="101" t="s">
        <v>307</v>
      </c>
      <c r="D46" s="86"/>
    </row>
    <row r="47">
      <c r="A47" s="60" t="s">
        <v>308</v>
      </c>
      <c r="B47" s="60" t="s">
        <v>309</v>
      </c>
      <c r="C47" s="101" t="s">
        <v>312</v>
      </c>
      <c r="D47" s="86"/>
    </row>
    <row r="48">
      <c r="A48" s="60" t="s">
        <v>313</v>
      </c>
      <c r="B48" s="60" t="s">
        <v>314</v>
      </c>
      <c r="C48" s="101" t="s">
        <v>315</v>
      </c>
      <c r="D48" s="86"/>
    </row>
    <row r="49">
      <c r="A49" s="76"/>
      <c r="B49" s="76"/>
      <c r="C49" s="76"/>
      <c r="D49" s="86"/>
    </row>
    <row r="50">
      <c r="A50" s="5"/>
      <c r="B50" s="5"/>
      <c r="C50" s="5"/>
      <c r="D50" s="86"/>
    </row>
  </sheetData>
  <mergeCells count="5">
    <mergeCell ref="A1:D1"/>
    <mergeCell ref="A3:D3"/>
    <mergeCell ref="A17:C17"/>
    <mergeCell ref="A19:C19"/>
    <mergeCell ref="A20:C20"/>
  </mergeCells>
  <hyperlinks>
    <hyperlink r:id="rId1" ref="C6"/>
    <hyperlink r:id="rId2" ref="C7"/>
    <hyperlink r:id="rId3" ref="C8"/>
    <hyperlink r:id="rId4" ref="C9"/>
    <hyperlink r:id="rId5" location="get-to-know-the-quality-rater-guidelines-and-e-a-t" ref="C10"/>
    <hyperlink r:id="rId6" ref="C11"/>
    <hyperlink r:id="rId7" ref="C12"/>
    <hyperlink r:id="rId8" ref="C13"/>
    <hyperlink r:id="rId9" ref="C14"/>
    <hyperlink r:id="rId10" ref="C15"/>
    <hyperlink r:id="rId11" ref="A19"/>
  </hyperlinks>
  <drawing r:id="rId12"/>
</worksheet>
</file>